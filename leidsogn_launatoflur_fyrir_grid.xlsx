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ar\Documents\Rwd\leidsogn_launatoflur\"/>
    </mc:Choice>
  </mc:AlternateContent>
  <xr:revisionPtr revIDLastSave="0" documentId="13_ncr:1_{B6E9CEE7-A92B-4341-8B26-0D62AFEFE25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Töflur" sheetId="1" r:id="rId1"/>
    <sheet name="Leiðsögn" sheetId="2" r:id="rId2"/>
    <sheet name="Ökuleiðsögn" sheetId="3" r:id="rId3"/>
    <sheet name="Launaflokkur - skyr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C2" i="3" s="1"/>
  <c r="B1" i="3"/>
  <c r="B49" i="3" s="1"/>
  <c r="B2" i="2"/>
  <c r="C2" i="2" s="1"/>
  <c r="B1" i="2"/>
  <c r="B11" i="2" s="1"/>
  <c r="C11" i="2" s="1"/>
  <c r="F11" i="2" s="1"/>
  <c r="E11" i="2" l="1"/>
  <c r="D11" i="2"/>
  <c r="B26" i="2"/>
  <c r="B49" i="2"/>
  <c r="B17" i="2"/>
  <c r="B9" i="2"/>
  <c r="B12" i="2"/>
  <c r="B15" i="2"/>
  <c r="B7" i="2"/>
  <c r="B10" i="2"/>
  <c r="B13" i="2"/>
  <c r="B14" i="2"/>
  <c r="B8" i="2"/>
  <c r="B16" i="2"/>
  <c r="B11" i="3"/>
  <c r="T49" i="3"/>
  <c r="D49" i="3"/>
  <c r="R49" i="3"/>
  <c r="P49" i="3"/>
  <c r="N49" i="3"/>
  <c r="L49" i="3"/>
  <c r="J49" i="3"/>
  <c r="H49" i="3"/>
  <c r="F49" i="3"/>
  <c r="B8" i="3"/>
  <c r="B16" i="3"/>
  <c r="B13" i="3"/>
  <c r="B10" i="3"/>
  <c r="B7" i="3"/>
  <c r="B15" i="3"/>
  <c r="B12" i="3"/>
  <c r="B9" i="3"/>
  <c r="B17" i="3"/>
  <c r="B14" i="3"/>
  <c r="B27" i="3" l="1"/>
  <c r="D12" i="3"/>
  <c r="C12" i="3"/>
  <c r="F12" i="3" s="1"/>
  <c r="E12" i="3"/>
  <c r="B30" i="3"/>
  <c r="E15" i="3"/>
  <c r="D15" i="3"/>
  <c r="C15" i="3"/>
  <c r="F15" i="3" s="1"/>
  <c r="C9" i="3"/>
  <c r="F9" i="3" s="1"/>
  <c r="B24" i="3"/>
  <c r="E9" i="3"/>
  <c r="D9" i="3"/>
  <c r="R86" i="3"/>
  <c r="J86" i="3"/>
  <c r="B86" i="3"/>
  <c r="Q86" i="3"/>
  <c r="I86" i="3"/>
  <c r="P86" i="3"/>
  <c r="H86" i="3"/>
  <c r="O86" i="3"/>
  <c r="G86" i="3"/>
  <c r="N86" i="3"/>
  <c r="F86" i="3"/>
  <c r="M86" i="3"/>
  <c r="E86" i="3"/>
  <c r="L86" i="3"/>
  <c r="D86" i="3"/>
  <c r="K86" i="3"/>
  <c r="C86" i="3"/>
  <c r="D15" i="2"/>
  <c r="C15" i="2"/>
  <c r="F15" i="2" s="1"/>
  <c r="B30" i="2"/>
  <c r="E15" i="2"/>
  <c r="B24" i="2"/>
  <c r="C9" i="2"/>
  <c r="F9" i="2" s="1"/>
  <c r="E9" i="2"/>
  <c r="D9" i="2"/>
  <c r="E7" i="3"/>
  <c r="D7" i="3"/>
  <c r="C7" i="3"/>
  <c r="F7" i="3" s="1"/>
  <c r="B22" i="3"/>
  <c r="E8" i="2"/>
  <c r="D8" i="2"/>
  <c r="C8" i="2"/>
  <c r="F8" i="2" s="1"/>
  <c r="B23" i="2"/>
  <c r="B32" i="2"/>
  <c r="C17" i="2"/>
  <c r="F17" i="2" s="1"/>
  <c r="E17" i="2"/>
  <c r="D17" i="2"/>
  <c r="E16" i="2"/>
  <c r="D16" i="2"/>
  <c r="C16" i="2"/>
  <c r="F16" i="2" s="1"/>
  <c r="B31" i="2"/>
  <c r="B25" i="3"/>
  <c r="E10" i="3"/>
  <c r="D10" i="3"/>
  <c r="C10" i="3"/>
  <c r="F10" i="3" s="1"/>
  <c r="B29" i="2"/>
  <c r="E14" i="2"/>
  <c r="D14" i="2"/>
  <c r="C14" i="2"/>
  <c r="F14" i="2" s="1"/>
  <c r="R49" i="2"/>
  <c r="P49" i="2"/>
  <c r="P34" i="1" s="1"/>
  <c r="N49" i="2"/>
  <c r="N34" i="1" s="1"/>
  <c r="L49" i="2"/>
  <c r="L34" i="1" s="1"/>
  <c r="J49" i="2"/>
  <c r="J34" i="1" s="1"/>
  <c r="T49" i="2"/>
  <c r="D49" i="2"/>
  <c r="D34" i="1" s="1"/>
  <c r="H49" i="2"/>
  <c r="H34" i="1" s="1"/>
  <c r="F49" i="2"/>
  <c r="F34" i="1" s="1"/>
  <c r="B34" i="1"/>
  <c r="B28" i="3"/>
  <c r="E13" i="3"/>
  <c r="D13" i="3"/>
  <c r="C13" i="3"/>
  <c r="F13" i="3" s="1"/>
  <c r="E13" i="2"/>
  <c r="D13" i="2"/>
  <c r="C13" i="2"/>
  <c r="F13" i="2" s="1"/>
  <c r="B28" i="2"/>
  <c r="E26" i="2"/>
  <c r="E11" i="1" s="1"/>
  <c r="D26" i="2"/>
  <c r="C26" i="2"/>
  <c r="B11" i="1"/>
  <c r="B26" i="3"/>
  <c r="E11" i="3"/>
  <c r="D11" i="3"/>
  <c r="C11" i="3"/>
  <c r="F11" i="3" s="1"/>
  <c r="B29" i="3"/>
  <c r="E14" i="3"/>
  <c r="D14" i="3"/>
  <c r="C14" i="3"/>
  <c r="F14" i="3" s="1"/>
  <c r="B31" i="3"/>
  <c r="E16" i="3"/>
  <c r="D16" i="3"/>
  <c r="C16" i="3"/>
  <c r="F16" i="3" s="1"/>
  <c r="N69" i="3"/>
  <c r="F69" i="3"/>
  <c r="M69" i="3"/>
  <c r="E69" i="3"/>
  <c r="L69" i="3"/>
  <c r="D69" i="3"/>
  <c r="K69" i="3"/>
  <c r="C69" i="3"/>
  <c r="R69" i="3"/>
  <c r="J69" i="3"/>
  <c r="B69" i="3"/>
  <c r="Q69" i="3"/>
  <c r="I69" i="3"/>
  <c r="P69" i="3"/>
  <c r="H69" i="3"/>
  <c r="O69" i="3"/>
  <c r="G69" i="3"/>
  <c r="E10" i="2"/>
  <c r="D10" i="2"/>
  <c r="C10" i="2"/>
  <c r="F10" i="2" s="1"/>
  <c r="B25" i="2"/>
  <c r="C12" i="2"/>
  <c r="F12" i="2" s="1"/>
  <c r="B27" i="2"/>
  <c r="D12" i="2"/>
  <c r="E12" i="2"/>
  <c r="B32" i="3"/>
  <c r="C17" i="3"/>
  <c r="F17" i="3" s="1"/>
  <c r="E17" i="3"/>
  <c r="D17" i="3"/>
  <c r="E8" i="3"/>
  <c r="D8" i="3"/>
  <c r="C8" i="3"/>
  <c r="F8" i="3" s="1"/>
  <c r="B23" i="3"/>
  <c r="D7" i="2"/>
  <c r="C7" i="2"/>
  <c r="F7" i="2" s="1"/>
  <c r="B22" i="2"/>
  <c r="E7" i="2"/>
  <c r="E23" i="3" l="1"/>
  <c r="D23" i="3"/>
  <c r="C39" i="3" s="1"/>
  <c r="C23" i="3"/>
  <c r="C29" i="3"/>
  <c r="E29" i="3"/>
  <c r="D29" i="3"/>
  <c r="C45" i="3" s="1"/>
  <c r="E28" i="3"/>
  <c r="D28" i="3"/>
  <c r="C44" i="3" s="1"/>
  <c r="C28" i="3"/>
  <c r="E30" i="2"/>
  <c r="E15" i="1" s="1"/>
  <c r="D30" i="2"/>
  <c r="C30" i="2"/>
  <c r="B15" i="1"/>
  <c r="E31" i="2"/>
  <c r="E16" i="1" s="1"/>
  <c r="D31" i="2"/>
  <c r="C31" i="2"/>
  <c r="B16" i="1"/>
  <c r="E23" i="2"/>
  <c r="E8" i="1" s="1"/>
  <c r="D23" i="2"/>
  <c r="B8" i="1"/>
  <c r="C23" i="2"/>
  <c r="E30" i="3"/>
  <c r="D30" i="3"/>
  <c r="C46" i="3" s="1"/>
  <c r="C30" i="3"/>
  <c r="E28" i="2"/>
  <c r="E13" i="1" s="1"/>
  <c r="D28" i="2"/>
  <c r="C28" i="2"/>
  <c r="B13" i="1"/>
  <c r="E25" i="3"/>
  <c r="D25" i="3"/>
  <c r="C41" i="3" s="1"/>
  <c r="C25" i="3"/>
  <c r="E25" i="2"/>
  <c r="E10" i="1" s="1"/>
  <c r="D25" i="2"/>
  <c r="C25" i="2"/>
  <c r="B10" i="1"/>
  <c r="E31" i="3"/>
  <c r="D31" i="3"/>
  <c r="C47" i="3" s="1"/>
  <c r="C31" i="3"/>
  <c r="E26" i="3"/>
  <c r="D26" i="3"/>
  <c r="C42" i="3" s="1"/>
  <c r="C26" i="3"/>
  <c r="E22" i="2"/>
  <c r="E7" i="1" s="1"/>
  <c r="D22" i="2"/>
  <c r="C22" i="2"/>
  <c r="B7" i="1"/>
  <c r="Q86" i="2"/>
  <c r="R71" i="1" s="1"/>
  <c r="I86" i="2"/>
  <c r="J71" i="1" s="1"/>
  <c r="P86" i="2"/>
  <c r="Q71" i="1" s="1"/>
  <c r="H86" i="2"/>
  <c r="I71" i="1" s="1"/>
  <c r="O86" i="2"/>
  <c r="P71" i="1" s="1"/>
  <c r="G86" i="2"/>
  <c r="H71" i="1" s="1"/>
  <c r="N86" i="2"/>
  <c r="O71" i="1" s="1"/>
  <c r="F86" i="2"/>
  <c r="G71" i="1" s="1"/>
  <c r="M86" i="2"/>
  <c r="N71" i="1" s="1"/>
  <c r="E86" i="2"/>
  <c r="F71" i="1" s="1"/>
  <c r="R86" i="2"/>
  <c r="S71" i="1" s="1"/>
  <c r="J86" i="2"/>
  <c r="K71" i="1" s="1"/>
  <c r="B86" i="2"/>
  <c r="C71" i="1" s="1"/>
  <c r="L86" i="2"/>
  <c r="M71" i="1" s="1"/>
  <c r="K86" i="2"/>
  <c r="L71" i="1" s="1"/>
  <c r="D86" i="2"/>
  <c r="E71" i="1" s="1"/>
  <c r="C86" i="2"/>
  <c r="D71" i="1" s="1"/>
  <c r="D27" i="2"/>
  <c r="C27" i="2"/>
  <c r="E27" i="2"/>
  <c r="E12" i="1" s="1"/>
  <c r="B12" i="1"/>
  <c r="M69" i="2"/>
  <c r="N53" i="1" s="1"/>
  <c r="E69" i="2"/>
  <c r="F53" i="1" s="1"/>
  <c r="L69" i="2"/>
  <c r="M53" i="1" s="1"/>
  <c r="D69" i="2"/>
  <c r="K69" i="2"/>
  <c r="L53" i="1" s="1"/>
  <c r="C69" i="2"/>
  <c r="D53" i="1" s="1"/>
  <c r="R69" i="2"/>
  <c r="S53" i="1" s="1"/>
  <c r="J69" i="2"/>
  <c r="K53" i="1" s="1"/>
  <c r="B69" i="2"/>
  <c r="C53" i="1" s="1"/>
  <c r="Q69" i="2"/>
  <c r="R53" i="1" s="1"/>
  <c r="I69" i="2"/>
  <c r="J53" i="1" s="1"/>
  <c r="N69" i="2"/>
  <c r="O53" i="1" s="1"/>
  <c r="F69" i="2"/>
  <c r="G53" i="1" s="1"/>
  <c r="R34" i="1"/>
  <c r="P69" i="2"/>
  <c r="Q53" i="1" s="1"/>
  <c r="H69" i="2"/>
  <c r="I53" i="1" s="1"/>
  <c r="O69" i="2"/>
  <c r="P53" i="1" s="1"/>
  <c r="G69" i="2"/>
  <c r="H53" i="1" s="1"/>
  <c r="F26" i="2"/>
  <c r="F11" i="1" s="1"/>
  <c r="B42" i="2"/>
  <c r="C11" i="1"/>
  <c r="C29" i="2"/>
  <c r="E29" i="2"/>
  <c r="E14" i="1" s="1"/>
  <c r="D29" i="2"/>
  <c r="B14" i="1"/>
  <c r="C24" i="2"/>
  <c r="D24" i="2"/>
  <c r="E24" i="2"/>
  <c r="E9" i="1" s="1"/>
  <c r="B9" i="1"/>
  <c r="E24" i="3"/>
  <c r="D24" i="3"/>
  <c r="C40" i="3" s="1"/>
  <c r="C24" i="3"/>
  <c r="C32" i="2"/>
  <c r="D32" i="2"/>
  <c r="E32" i="2"/>
  <c r="E17" i="1" s="1"/>
  <c r="B17" i="1"/>
  <c r="D32" i="3"/>
  <c r="C48" i="3" s="1"/>
  <c r="C32" i="3"/>
  <c r="E32" i="3"/>
  <c r="C42" i="2"/>
  <c r="D11" i="1"/>
  <c r="E22" i="3"/>
  <c r="D22" i="3"/>
  <c r="C38" i="3" s="1"/>
  <c r="C22" i="3"/>
  <c r="E27" i="3"/>
  <c r="D27" i="3"/>
  <c r="C43" i="3" s="1"/>
  <c r="C27" i="3"/>
  <c r="B47" i="2" l="1"/>
  <c r="F31" i="2"/>
  <c r="F16" i="1" s="1"/>
  <c r="C16" i="1"/>
  <c r="O44" i="3"/>
  <c r="G44" i="3"/>
  <c r="U44" i="3"/>
  <c r="M44" i="3"/>
  <c r="E44" i="3"/>
  <c r="S44" i="3"/>
  <c r="K44" i="3"/>
  <c r="Q44" i="3"/>
  <c r="I44" i="3"/>
  <c r="B48" i="3"/>
  <c r="F32" i="3"/>
  <c r="B41" i="3"/>
  <c r="F25" i="3"/>
  <c r="F30" i="3"/>
  <c r="B46" i="3"/>
  <c r="O48" i="3"/>
  <c r="G48" i="3"/>
  <c r="U48" i="3"/>
  <c r="M48" i="3"/>
  <c r="E48" i="3"/>
  <c r="S48" i="3"/>
  <c r="K48" i="3"/>
  <c r="Q48" i="3"/>
  <c r="I48" i="3"/>
  <c r="S45" i="3"/>
  <c r="K45" i="3"/>
  <c r="Q45" i="3"/>
  <c r="I45" i="3"/>
  <c r="O45" i="3"/>
  <c r="G45" i="3"/>
  <c r="U45" i="3"/>
  <c r="M45" i="3"/>
  <c r="E45" i="3"/>
  <c r="O38" i="3"/>
  <c r="G38" i="3"/>
  <c r="U38" i="3"/>
  <c r="M38" i="3"/>
  <c r="E38" i="3"/>
  <c r="S38" i="3"/>
  <c r="K38" i="3"/>
  <c r="Q38" i="3"/>
  <c r="I38" i="3"/>
  <c r="C40" i="2"/>
  <c r="D9" i="1"/>
  <c r="S47" i="3"/>
  <c r="K47" i="3"/>
  <c r="Q47" i="3"/>
  <c r="I47" i="3"/>
  <c r="O47" i="3"/>
  <c r="G47" i="3"/>
  <c r="U47" i="3"/>
  <c r="M47" i="3"/>
  <c r="E47" i="3"/>
  <c r="B39" i="2"/>
  <c r="F23" i="2"/>
  <c r="F8" i="1" s="1"/>
  <c r="C8" i="1"/>
  <c r="N42" i="2"/>
  <c r="N27" i="1" s="1"/>
  <c r="F42" i="2"/>
  <c r="F27" i="1" s="1"/>
  <c r="T42" i="2"/>
  <c r="L42" i="2"/>
  <c r="L27" i="1" s="1"/>
  <c r="D42" i="2"/>
  <c r="D27" i="1" s="1"/>
  <c r="R42" i="2"/>
  <c r="J42" i="2"/>
  <c r="J27" i="1" s="1"/>
  <c r="P42" i="2"/>
  <c r="P27" i="1" s="1"/>
  <c r="B27" i="1"/>
  <c r="H42" i="2"/>
  <c r="H27" i="1" s="1"/>
  <c r="C48" i="2"/>
  <c r="D17" i="1"/>
  <c r="B40" i="2"/>
  <c r="C9" i="1"/>
  <c r="F24" i="2"/>
  <c r="F9" i="1" s="1"/>
  <c r="B38" i="2"/>
  <c r="F22" i="2"/>
  <c r="F7" i="1" s="1"/>
  <c r="C7" i="1"/>
  <c r="B46" i="2"/>
  <c r="F30" i="2"/>
  <c r="F15" i="1" s="1"/>
  <c r="C15" i="1"/>
  <c r="B45" i="3"/>
  <c r="F29" i="3"/>
  <c r="S43" i="3"/>
  <c r="K43" i="3"/>
  <c r="Q43" i="3"/>
  <c r="I43" i="3"/>
  <c r="O43" i="3"/>
  <c r="G43" i="3"/>
  <c r="U43" i="3"/>
  <c r="M43" i="3"/>
  <c r="E43" i="3"/>
  <c r="B45" i="2"/>
  <c r="F29" i="2"/>
  <c r="F14" i="1" s="1"/>
  <c r="C14" i="1"/>
  <c r="O42" i="3"/>
  <c r="G42" i="3"/>
  <c r="U42" i="3"/>
  <c r="M42" i="3"/>
  <c r="E42" i="3"/>
  <c r="S42" i="3"/>
  <c r="K42" i="3"/>
  <c r="Q42" i="3"/>
  <c r="I42" i="3"/>
  <c r="S41" i="3"/>
  <c r="K41" i="3"/>
  <c r="Q41" i="3"/>
  <c r="I41" i="3"/>
  <c r="O41" i="3"/>
  <c r="G41" i="3"/>
  <c r="U41" i="3"/>
  <c r="M41" i="3"/>
  <c r="E41" i="3"/>
  <c r="B48" i="2"/>
  <c r="F32" i="2"/>
  <c r="F17" i="1" s="1"/>
  <c r="C17" i="1"/>
  <c r="F28" i="2"/>
  <c r="F13" i="1" s="1"/>
  <c r="B44" i="2"/>
  <c r="C13" i="1"/>
  <c r="C39" i="2"/>
  <c r="D8" i="1"/>
  <c r="C46" i="2"/>
  <c r="D15" i="1"/>
  <c r="B39" i="3"/>
  <c r="F23" i="3"/>
  <c r="C47" i="2"/>
  <c r="D16" i="1"/>
  <c r="C38" i="2"/>
  <c r="D7" i="1"/>
  <c r="B40" i="3"/>
  <c r="F24" i="3"/>
  <c r="C45" i="2"/>
  <c r="D14" i="1"/>
  <c r="B41" i="2"/>
  <c r="F25" i="2"/>
  <c r="F10" i="1" s="1"/>
  <c r="C10" i="1"/>
  <c r="C44" i="2"/>
  <c r="D13" i="1"/>
  <c r="S39" i="3"/>
  <c r="K39" i="3"/>
  <c r="Q39" i="3"/>
  <c r="I39" i="3"/>
  <c r="O39" i="3"/>
  <c r="G39" i="3"/>
  <c r="U39" i="3"/>
  <c r="M39" i="3"/>
  <c r="E39" i="3"/>
  <c r="B43" i="2"/>
  <c r="C12" i="1"/>
  <c r="F27" i="2"/>
  <c r="F12" i="1" s="1"/>
  <c r="C43" i="2"/>
  <c r="D12" i="1"/>
  <c r="O46" i="3"/>
  <c r="G46" i="3"/>
  <c r="U46" i="3"/>
  <c r="M46" i="3"/>
  <c r="E46" i="3"/>
  <c r="S46" i="3"/>
  <c r="K46" i="3"/>
  <c r="Q46" i="3"/>
  <c r="I46" i="3"/>
  <c r="B38" i="3"/>
  <c r="F22" i="3"/>
  <c r="B47" i="3"/>
  <c r="F31" i="3"/>
  <c r="U42" i="2"/>
  <c r="M42" i="2"/>
  <c r="M27" i="1" s="1"/>
  <c r="E42" i="2"/>
  <c r="E27" i="1" s="1"/>
  <c r="S42" i="2"/>
  <c r="S27" i="1" s="1"/>
  <c r="K42" i="2"/>
  <c r="K27" i="1" s="1"/>
  <c r="O42" i="2"/>
  <c r="O27" i="1" s="1"/>
  <c r="G42" i="2"/>
  <c r="G27" i="1" s="1"/>
  <c r="Q42" i="2"/>
  <c r="Q27" i="1" s="1"/>
  <c r="C27" i="1"/>
  <c r="I42" i="2"/>
  <c r="I27" i="1" s="1"/>
  <c r="B43" i="3"/>
  <c r="F27" i="3"/>
  <c r="O40" i="3"/>
  <c r="G40" i="3"/>
  <c r="U40" i="3"/>
  <c r="M40" i="3"/>
  <c r="E40" i="3"/>
  <c r="S40" i="3"/>
  <c r="K40" i="3"/>
  <c r="Q40" i="3"/>
  <c r="I40" i="3"/>
  <c r="F26" i="3"/>
  <c r="B42" i="3"/>
  <c r="C41" i="2"/>
  <c r="D10" i="1"/>
  <c r="F28" i="3"/>
  <c r="B44" i="3"/>
  <c r="N44" i="3" l="1"/>
  <c r="F44" i="3"/>
  <c r="T44" i="3"/>
  <c r="L44" i="3"/>
  <c r="D44" i="3"/>
  <c r="R44" i="3"/>
  <c r="J44" i="3"/>
  <c r="P44" i="3"/>
  <c r="H44" i="3"/>
  <c r="U44" i="2"/>
  <c r="M44" i="2"/>
  <c r="M29" i="1" s="1"/>
  <c r="E44" i="2"/>
  <c r="E29" i="1" s="1"/>
  <c r="S44" i="2"/>
  <c r="S29" i="1" s="1"/>
  <c r="K44" i="2"/>
  <c r="K29" i="1" s="1"/>
  <c r="O44" i="2"/>
  <c r="O29" i="1" s="1"/>
  <c r="G44" i="2"/>
  <c r="G29" i="1" s="1"/>
  <c r="I44" i="2"/>
  <c r="I29" i="1" s="1"/>
  <c r="C29" i="1"/>
  <c r="Q44" i="2"/>
  <c r="Q29" i="1" s="1"/>
  <c r="N40" i="2"/>
  <c r="N25" i="1" s="1"/>
  <c r="F40" i="2"/>
  <c r="F25" i="1" s="1"/>
  <c r="T40" i="2"/>
  <c r="L40" i="2"/>
  <c r="L25" i="1" s="1"/>
  <c r="D40" i="2"/>
  <c r="D25" i="1" s="1"/>
  <c r="R40" i="2"/>
  <c r="J40" i="2"/>
  <c r="J25" i="1" s="1"/>
  <c r="P40" i="2"/>
  <c r="P25" i="1" s="1"/>
  <c r="H40" i="2"/>
  <c r="H25" i="1" s="1"/>
  <c r="B25" i="1"/>
  <c r="R41" i="3"/>
  <c r="J41" i="3"/>
  <c r="P41" i="3"/>
  <c r="H41" i="3"/>
  <c r="N41" i="3"/>
  <c r="F41" i="3"/>
  <c r="T41" i="3"/>
  <c r="L41" i="3"/>
  <c r="D41" i="3"/>
  <c r="C28" i="1"/>
  <c r="Q43" i="2"/>
  <c r="Q28" i="1" s="1"/>
  <c r="I43" i="2"/>
  <c r="I28" i="1" s="1"/>
  <c r="O43" i="2"/>
  <c r="O28" i="1" s="1"/>
  <c r="G43" i="2"/>
  <c r="G28" i="1" s="1"/>
  <c r="S43" i="2"/>
  <c r="S28" i="1" s="1"/>
  <c r="K43" i="2"/>
  <c r="K28" i="1" s="1"/>
  <c r="U43" i="2"/>
  <c r="E43" i="2"/>
  <c r="E28" i="1" s="1"/>
  <c r="M43" i="2"/>
  <c r="M28" i="1" s="1"/>
  <c r="N46" i="2"/>
  <c r="N31" i="1" s="1"/>
  <c r="F46" i="2"/>
  <c r="F31" i="1" s="1"/>
  <c r="T46" i="2"/>
  <c r="L46" i="2"/>
  <c r="L31" i="1" s="1"/>
  <c r="D46" i="2"/>
  <c r="D31" i="1" s="1"/>
  <c r="R46" i="2"/>
  <c r="J46" i="2"/>
  <c r="J31" i="1" s="1"/>
  <c r="B31" i="1"/>
  <c r="P46" i="2"/>
  <c r="P31" i="1" s="1"/>
  <c r="H46" i="2"/>
  <c r="H31" i="1" s="1"/>
  <c r="U48" i="2"/>
  <c r="M48" i="2"/>
  <c r="M33" i="1" s="1"/>
  <c r="E48" i="2"/>
  <c r="E33" i="1" s="1"/>
  <c r="S48" i="2"/>
  <c r="S33" i="1" s="1"/>
  <c r="K48" i="2"/>
  <c r="K33" i="1" s="1"/>
  <c r="O48" i="2"/>
  <c r="O33" i="1" s="1"/>
  <c r="G48" i="2"/>
  <c r="G33" i="1" s="1"/>
  <c r="Q48" i="2"/>
  <c r="Q33" i="1" s="1"/>
  <c r="I48" i="2"/>
  <c r="I33" i="1" s="1"/>
  <c r="C33" i="1"/>
  <c r="P79" i="2"/>
  <c r="Q64" i="1" s="1"/>
  <c r="H79" i="2"/>
  <c r="I64" i="1" s="1"/>
  <c r="O79" i="2"/>
  <c r="P64" i="1" s="1"/>
  <c r="G79" i="2"/>
  <c r="H64" i="1" s="1"/>
  <c r="N79" i="2"/>
  <c r="O64" i="1" s="1"/>
  <c r="F79" i="2"/>
  <c r="G64" i="1" s="1"/>
  <c r="M79" i="2"/>
  <c r="N64" i="1" s="1"/>
  <c r="E79" i="2"/>
  <c r="F64" i="1" s="1"/>
  <c r="L79" i="2"/>
  <c r="M64" i="1" s="1"/>
  <c r="D79" i="2"/>
  <c r="E64" i="1" s="1"/>
  <c r="Q79" i="2"/>
  <c r="R64" i="1" s="1"/>
  <c r="I79" i="2"/>
  <c r="J64" i="1" s="1"/>
  <c r="K79" i="2"/>
  <c r="L64" i="1" s="1"/>
  <c r="J79" i="2"/>
  <c r="K64" i="1" s="1"/>
  <c r="C79" i="2"/>
  <c r="D64" i="1" s="1"/>
  <c r="B79" i="2"/>
  <c r="C64" i="1" s="1"/>
  <c r="R79" i="2"/>
  <c r="S64" i="1" s="1"/>
  <c r="U40" i="2"/>
  <c r="M40" i="2"/>
  <c r="M25" i="1" s="1"/>
  <c r="E40" i="2"/>
  <c r="E25" i="1" s="1"/>
  <c r="S40" i="2"/>
  <c r="S25" i="1" s="1"/>
  <c r="K40" i="2"/>
  <c r="K25" i="1" s="1"/>
  <c r="O40" i="2"/>
  <c r="O25" i="1" s="1"/>
  <c r="G40" i="2"/>
  <c r="G25" i="1" s="1"/>
  <c r="Q40" i="2"/>
  <c r="Q25" i="1" s="1"/>
  <c r="I40" i="2"/>
  <c r="I25" i="1" s="1"/>
  <c r="C25" i="1"/>
  <c r="R41" i="2"/>
  <c r="J41" i="2"/>
  <c r="J26" i="1" s="1"/>
  <c r="P41" i="2"/>
  <c r="P26" i="1" s="1"/>
  <c r="H41" i="2"/>
  <c r="H26" i="1" s="1"/>
  <c r="N41" i="2"/>
  <c r="N26" i="1" s="1"/>
  <c r="F41" i="2"/>
  <c r="F26" i="1" s="1"/>
  <c r="D41" i="2"/>
  <c r="D26" i="1" s="1"/>
  <c r="B26" i="1"/>
  <c r="T41" i="2"/>
  <c r="L41" i="2"/>
  <c r="L26" i="1" s="1"/>
  <c r="C32" i="1"/>
  <c r="Q47" i="2"/>
  <c r="Q32" i="1" s="1"/>
  <c r="I47" i="2"/>
  <c r="I32" i="1" s="1"/>
  <c r="O47" i="2"/>
  <c r="O32" i="1" s="1"/>
  <c r="G47" i="2"/>
  <c r="G32" i="1" s="1"/>
  <c r="S47" i="2"/>
  <c r="S32" i="1" s="1"/>
  <c r="K47" i="2"/>
  <c r="K32" i="1" s="1"/>
  <c r="M47" i="2"/>
  <c r="M32" i="1" s="1"/>
  <c r="E47" i="2"/>
  <c r="E32" i="1" s="1"/>
  <c r="U47" i="2"/>
  <c r="N44" i="2"/>
  <c r="N29" i="1" s="1"/>
  <c r="F44" i="2"/>
  <c r="F29" i="1" s="1"/>
  <c r="T44" i="2"/>
  <c r="L44" i="2"/>
  <c r="L29" i="1" s="1"/>
  <c r="D44" i="2"/>
  <c r="D29" i="1" s="1"/>
  <c r="R44" i="2"/>
  <c r="J44" i="2"/>
  <c r="J29" i="1" s="1"/>
  <c r="B29" i="1"/>
  <c r="H44" i="2"/>
  <c r="H29" i="1" s="1"/>
  <c r="P44" i="2"/>
  <c r="P29" i="1" s="1"/>
  <c r="N48" i="3"/>
  <c r="F48" i="3"/>
  <c r="T48" i="3"/>
  <c r="L48" i="3"/>
  <c r="D48" i="3"/>
  <c r="R48" i="3"/>
  <c r="J48" i="3"/>
  <c r="P48" i="3"/>
  <c r="H48" i="3"/>
  <c r="R45" i="2"/>
  <c r="J45" i="2"/>
  <c r="J30" i="1" s="1"/>
  <c r="P45" i="2"/>
  <c r="P30" i="1" s="1"/>
  <c r="H45" i="2"/>
  <c r="H30" i="1" s="1"/>
  <c r="N45" i="2"/>
  <c r="N30" i="1" s="1"/>
  <c r="F45" i="2"/>
  <c r="F30" i="1" s="1"/>
  <c r="T45" i="2"/>
  <c r="L45" i="2"/>
  <c r="L30" i="1" s="1"/>
  <c r="D45" i="2"/>
  <c r="D30" i="1" s="1"/>
  <c r="B30" i="1"/>
  <c r="R43" i="3"/>
  <c r="J43" i="3"/>
  <c r="P43" i="3"/>
  <c r="H43" i="3"/>
  <c r="N43" i="3"/>
  <c r="F43" i="3"/>
  <c r="T43" i="3"/>
  <c r="L43" i="3"/>
  <c r="D43" i="3"/>
  <c r="N42" i="3"/>
  <c r="F42" i="3"/>
  <c r="T42" i="3"/>
  <c r="L42" i="3"/>
  <c r="D42" i="3"/>
  <c r="R42" i="3"/>
  <c r="J42" i="3"/>
  <c r="P42" i="3"/>
  <c r="H42" i="3"/>
  <c r="R47" i="3"/>
  <c r="J47" i="3"/>
  <c r="P47" i="3"/>
  <c r="H47" i="3"/>
  <c r="N47" i="3"/>
  <c r="F47" i="3"/>
  <c r="T47" i="3"/>
  <c r="L47" i="3"/>
  <c r="D47" i="3"/>
  <c r="R43" i="2"/>
  <c r="J43" i="2"/>
  <c r="J28" i="1" s="1"/>
  <c r="P43" i="2"/>
  <c r="P28" i="1" s="1"/>
  <c r="H43" i="2"/>
  <c r="H28" i="1" s="1"/>
  <c r="N43" i="2"/>
  <c r="N28" i="1" s="1"/>
  <c r="F43" i="2"/>
  <c r="F28" i="1" s="1"/>
  <c r="B28" i="1"/>
  <c r="T43" i="2"/>
  <c r="L43" i="2"/>
  <c r="L28" i="1" s="1"/>
  <c r="D43" i="2"/>
  <c r="D28" i="1" s="1"/>
  <c r="Q45" i="2"/>
  <c r="Q30" i="1" s="1"/>
  <c r="I45" i="2"/>
  <c r="I30" i="1" s="1"/>
  <c r="O45" i="2"/>
  <c r="O30" i="1" s="1"/>
  <c r="G45" i="2"/>
  <c r="G30" i="1" s="1"/>
  <c r="S45" i="2"/>
  <c r="S30" i="1" s="1"/>
  <c r="K45" i="2"/>
  <c r="K30" i="1" s="1"/>
  <c r="U45" i="2"/>
  <c r="M45" i="2"/>
  <c r="M30" i="1" s="1"/>
  <c r="E45" i="2"/>
  <c r="E30" i="1" s="1"/>
  <c r="C30" i="1"/>
  <c r="R39" i="3"/>
  <c r="J39" i="3"/>
  <c r="P39" i="3"/>
  <c r="H39" i="3"/>
  <c r="N39" i="3"/>
  <c r="F39" i="3"/>
  <c r="T39" i="3"/>
  <c r="L39" i="3"/>
  <c r="D39" i="3"/>
  <c r="N38" i="2"/>
  <c r="N23" i="1" s="1"/>
  <c r="F38" i="2"/>
  <c r="F23" i="1" s="1"/>
  <c r="T38" i="2"/>
  <c r="L38" i="2"/>
  <c r="L23" i="1" s="1"/>
  <c r="D38" i="2"/>
  <c r="D23" i="1" s="1"/>
  <c r="R38" i="2"/>
  <c r="J38" i="2"/>
  <c r="J23" i="1" s="1"/>
  <c r="B23" i="1"/>
  <c r="P38" i="2"/>
  <c r="P23" i="1" s="1"/>
  <c r="H38" i="2"/>
  <c r="H23" i="1" s="1"/>
  <c r="Q39" i="2"/>
  <c r="Q24" i="1" s="1"/>
  <c r="I39" i="2"/>
  <c r="I24" i="1" s="1"/>
  <c r="O39" i="2"/>
  <c r="O24" i="1" s="1"/>
  <c r="G39" i="2"/>
  <c r="G24" i="1" s="1"/>
  <c r="S39" i="2"/>
  <c r="S24" i="1" s="1"/>
  <c r="K39" i="2"/>
  <c r="K24" i="1" s="1"/>
  <c r="M39" i="2"/>
  <c r="M24" i="1" s="1"/>
  <c r="E39" i="2"/>
  <c r="E24" i="1" s="1"/>
  <c r="U39" i="2"/>
  <c r="C24" i="1"/>
  <c r="N46" i="3"/>
  <c r="F46" i="3"/>
  <c r="T46" i="3"/>
  <c r="L46" i="3"/>
  <c r="D46" i="3"/>
  <c r="R46" i="3"/>
  <c r="J46" i="3"/>
  <c r="P46" i="3"/>
  <c r="H46" i="3"/>
  <c r="U38" i="2"/>
  <c r="M38" i="2"/>
  <c r="M23" i="1" s="1"/>
  <c r="E38" i="2"/>
  <c r="E23" i="1" s="1"/>
  <c r="S38" i="2"/>
  <c r="S23" i="1" s="1"/>
  <c r="K38" i="2"/>
  <c r="K23" i="1" s="1"/>
  <c r="O38" i="2"/>
  <c r="O23" i="1" s="1"/>
  <c r="G38" i="2"/>
  <c r="G23" i="1" s="1"/>
  <c r="C23" i="1"/>
  <c r="I38" i="2"/>
  <c r="I23" i="1" s="1"/>
  <c r="Q38" i="2"/>
  <c r="Q23" i="1" s="1"/>
  <c r="Q41" i="2"/>
  <c r="Q26" i="1" s="1"/>
  <c r="I41" i="2"/>
  <c r="I26" i="1" s="1"/>
  <c r="O41" i="2"/>
  <c r="O26" i="1" s="1"/>
  <c r="G41" i="2"/>
  <c r="G26" i="1" s="1"/>
  <c r="S41" i="2"/>
  <c r="S26" i="1" s="1"/>
  <c r="K41" i="2"/>
  <c r="K26" i="1" s="1"/>
  <c r="E41" i="2"/>
  <c r="E26" i="1" s="1"/>
  <c r="C26" i="1"/>
  <c r="U41" i="2"/>
  <c r="M41" i="2"/>
  <c r="M26" i="1" s="1"/>
  <c r="N38" i="3"/>
  <c r="F38" i="3"/>
  <c r="T38" i="3"/>
  <c r="L38" i="3"/>
  <c r="D38" i="3"/>
  <c r="R38" i="3"/>
  <c r="J38" i="3"/>
  <c r="P38" i="3"/>
  <c r="H38" i="3"/>
  <c r="N40" i="3"/>
  <c r="F40" i="3"/>
  <c r="T40" i="3"/>
  <c r="L40" i="3"/>
  <c r="D40" i="3"/>
  <c r="R40" i="3"/>
  <c r="J40" i="3"/>
  <c r="P40" i="3"/>
  <c r="H40" i="3"/>
  <c r="U46" i="2"/>
  <c r="M46" i="2"/>
  <c r="M31" i="1" s="1"/>
  <c r="E46" i="2"/>
  <c r="E31" i="1" s="1"/>
  <c r="S46" i="2"/>
  <c r="S31" i="1" s="1"/>
  <c r="K46" i="2"/>
  <c r="K31" i="1" s="1"/>
  <c r="O46" i="2"/>
  <c r="O31" i="1" s="1"/>
  <c r="G46" i="2"/>
  <c r="G31" i="1" s="1"/>
  <c r="I46" i="2"/>
  <c r="I31" i="1" s="1"/>
  <c r="C31" i="1"/>
  <c r="Q46" i="2"/>
  <c r="Q31" i="1" s="1"/>
  <c r="N48" i="2"/>
  <c r="N33" i="1" s="1"/>
  <c r="F48" i="2"/>
  <c r="F33" i="1" s="1"/>
  <c r="T48" i="2"/>
  <c r="L48" i="2"/>
  <c r="L33" i="1" s="1"/>
  <c r="D48" i="2"/>
  <c r="D33" i="1" s="1"/>
  <c r="R48" i="2"/>
  <c r="J48" i="2"/>
  <c r="J33" i="1" s="1"/>
  <c r="B33" i="1"/>
  <c r="P48" i="2"/>
  <c r="P33" i="1" s="1"/>
  <c r="H48" i="2"/>
  <c r="H33" i="1" s="1"/>
  <c r="R45" i="3"/>
  <c r="J45" i="3"/>
  <c r="P45" i="3"/>
  <c r="H45" i="3"/>
  <c r="N45" i="3"/>
  <c r="F45" i="3"/>
  <c r="T45" i="3"/>
  <c r="L45" i="3"/>
  <c r="D45" i="3"/>
  <c r="L62" i="2"/>
  <c r="M46" i="1" s="1"/>
  <c r="D62" i="2"/>
  <c r="E46" i="1" s="1"/>
  <c r="K62" i="2"/>
  <c r="L46" i="1" s="1"/>
  <c r="C62" i="2"/>
  <c r="D46" i="1" s="1"/>
  <c r="R62" i="2"/>
  <c r="S46" i="1" s="1"/>
  <c r="J62" i="2"/>
  <c r="K46" i="1" s="1"/>
  <c r="B62" i="2"/>
  <c r="C46" i="1" s="1"/>
  <c r="Q62" i="2"/>
  <c r="R46" i="1" s="1"/>
  <c r="I62" i="2"/>
  <c r="J46" i="1" s="1"/>
  <c r="P62" i="2"/>
  <c r="Q46" i="1" s="1"/>
  <c r="H62" i="2"/>
  <c r="I46" i="1" s="1"/>
  <c r="M62" i="2"/>
  <c r="N46" i="1" s="1"/>
  <c r="E62" i="2"/>
  <c r="F46" i="1" s="1"/>
  <c r="O62" i="2"/>
  <c r="P46" i="1" s="1"/>
  <c r="R27" i="1"/>
  <c r="N62" i="2"/>
  <c r="O46" i="1" s="1"/>
  <c r="G62" i="2"/>
  <c r="H46" i="1" s="1"/>
  <c r="F62" i="2"/>
  <c r="G46" i="1" s="1"/>
  <c r="R39" i="2"/>
  <c r="J39" i="2"/>
  <c r="J24" i="1" s="1"/>
  <c r="P39" i="2"/>
  <c r="P24" i="1" s="1"/>
  <c r="H39" i="2"/>
  <c r="H24" i="1" s="1"/>
  <c r="N39" i="2"/>
  <c r="N24" i="1" s="1"/>
  <c r="F39" i="2"/>
  <c r="F24" i="1" s="1"/>
  <c r="B24" i="1"/>
  <c r="L39" i="2"/>
  <c r="L24" i="1" s="1"/>
  <c r="D39" i="2"/>
  <c r="D24" i="1" s="1"/>
  <c r="T39" i="2"/>
  <c r="R47" i="2"/>
  <c r="J47" i="2"/>
  <c r="J32" i="1" s="1"/>
  <c r="P47" i="2"/>
  <c r="P32" i="1" s="1"/>
  <c r="H47" i="2"/>
  <c r="H32" i="1" s="1"/>
  <c r="N47" i="2"/>
  <c r="N32" i="1" s="1"/>
  <c r="F47" i="2"/>
  <c r="F32" i="1" s="1"/>
  <c r="L47" i="2"/>
  <c r="L32" i="1" s="1"/>
  <c r="B32" i="1"/>
  <c r="D47" i="2"/>
  <c r="D32" i="1" s="1"/>
  <c r="T47" i="2"/>
  <c r="Q78" i="2" l="1"/>
  <c r="R63" i="1" s="1"/>
  <c r="I78" i="2"/>
  <c r="J63" i="1" s="1"/>
  <c r="P78" i="2"/>
  <c r="Q63" i="1" s="1"/>
  <c r="H78" i="2"/>
  <c r="I63" i="1" s="1"/>
  <c r="O78" i="2"/>
  <c r="P63" i="1" s="1"/>
  <c r="G78" i="2"/>
  <c r="H63" i="1" s="1"/>
  <c r="N78" i="2"/>
  <c r="O63" i="1" s="1"/>
  <c r="F78" i="2"/>
  <c r="G63" i="1" s="1"/>
  <c r="M78" i="2"/>
  <c r="N63" i="1" s="1"/>
  <c r="E78" i="2"/>
  <c r="F63" i="1" s="1"/>
  <c r="R78" i="2"/>
  <c r="S63" i="1" s="1"/>
  <c r="J78" i="2"/>
  <c r="K63" i="1" s="1"/>
  <c r="B78" i="2"/>
  <c r="C63" i="1" s="1"/>
  <c r="D78" i="2"/>
  <c r="E63" i="1" s="1"/>
  <c r="L78" i="2"/>
  <c r="M63" i="1" s="1"/>
  <c r="K78" i="2"/>
  <c r="L63" i="1" s="1"/>
  <c r="C78" i="2"/>
  <c r="D63" i="1" s="1"/>
  <c r="M61" i="2"/>
  <c r="N45" i="1" s="1"/>
  <c r="E61" i="2"/>
  <c r="F45" i="1" s="1"/>
  <c r="L61" i="2"/>
  <c r="M45" i="1" s="1"/>
  <c r="D61" i="2"/>
  <c r="E45" i="1" s="1"/>
  <c r="K61" i="2"/>
  <c r="L45" i="1" s="1"/>
  <c r="C61" i="2"/>
  <c r="D45" i="1" s="1"/>
  <c r="R61" i="2"/>
  <c r="S45" i="1" s="1"/>
  <c r="J61" i="2"/>
  <c r="K45" i="1" s="1"/>
  <c r="B61" i="2"/>
  <c r="C45" i="1" s="1"/>
  <c r="Q61" i="2"/>
  <c r="R45" i="1" s="1"/>
  <c r="I61" i="2"/>
  <c r="J45" i="1" s="1"/>
  <c r="N61" i="2"/>
  <c r="O45" i="1" s="1"/>
  <c r="F61" i="2"/>
  <c r="G45" i="1" s="1"/>
  <c r="H61" i="2"/>
  <c r="I45" i="1" s="1"/>
  <c r="G61" i="2"/>
  <c r="H45" i="1" s="1"/>
  <c r="R26" i="1"/>
  <c r="P61" i="2"/>
  <c r="Q45" i="1" s="1"/>
  <c r="O61" i="2"/>
  <c r="P45" i="1" s="1"/>
  <c r="Q66" i="3"/>
  <c r="I66" i="3"/>
  <c r="P66" i="3"/>
  <c r="H66" i="3"/>
  <c r="O66" i="3"/>
  <c r="G66" i="3"/>
  <c r="N66" i="3"/>
  <c r="F66" i="3"/>
  <c r="M66" i="3"/>
  <c r="E66" i="3"/>
  <c r="L66" i="3"/>
  <c r="D66" i="3"/>
  <c r="K66" i="3"/>
  <c r="C66" i="3"/>
  <c r="R66" i="3"/>
  <c r="J66" i="3"/>
  <c r="B66" i="3"/>
  <c r="K85" i="3"/>
  <c r="C85" i="3"/>
  <c r="R85" i="3"/>
  <c r="J85" i="3"/>
  <c r="B85" i="3"/>
  <c r="Q85" i="3"/>
  <c r="I85" i="3"/>
  <c r="P85" i="3"/>
  <c r="H85" i="3"/>
  <c r="O85" i="3"/>
  <c r="G85" i="3"/>
  <c r="N85" i="3"/>
  <c r="F85" i="3"/>
  <c r="M85" i="3"/>
  <c r="E85" i="3"/>
  <c r="L85" i="3"/>
  <c r="D85" i="3"/>
  <c r="K84" i="2"/>
  <c r="L69" i="1" s="1"/>
  <c r="C84" i="2"/>
  <c r="D69" i="1" s="1"/>
  <c r="R84" i="2"/>
  <c r="S69" i="1" s="1"/>
  <c r="J84" i="2"/>
  <c r="K69" i="1" s="1"/>
  <c r="B84" i="2"/>
  <c r="C69" i="1" s="1"/>
  <c r="Q84" i="2"/>
  <c r="R69" i="1" s="1"/>
  <c r="I84" i="2"/>
  <c r="J69" i="1" s="1"/>
  <c r="P84" i="2"/>
  <c r="Q69" i="1" s="1"/>
  <c r="H84" i="2"/>
  <c r="I69" i="1" s="1"/>
  <c r="O84" i="2"/>
  <c r="P69" i="1" s="1"/>
  <c r="G84" i="2"/>
  <c r="H69" i="1" s="1"/>
  <c r="L84" i="2"/>
  <c r="M69" i="1" s="1"/>
  <c r="D84" i="2"/>
  <c r="E69" i="1" s="1"/>
  <c r="N84" i="2"/>
  <c r="O69" i="1" s="1"/>
  <c r="M84" i="2"/>
  <c r="N69" i="1" s="1"/>
  <c r="F84" i="2"/>
  <c r="G69" i="1" s="1"/>
  <c r="E84" i="2"/>
  <c r="F69" i="1" s="1"/>
  <c r="N82" i="3"/>
  <c r="F82" i="3"/>
  <c r="M82" i="3"/>
  <c r="E82" i="3"/>
  <c r="L82" i="3"/>
  <c r="D82" i="3"/>
  <c r="K82" i="3"/>
  <c r="C82" i="3"/>
  <c r="R82" i="3"/>
  <c r="J82" i="3"/>
  <c r="B82" i="3"/>
  <c r="Q82" i="3"/>
  <c r="I82" i="3"/>
  <c r="P82" i="3"/>
  <c r="H82" i="3"/>
  <c r="O82" i="3"/>
  <c r="G82" i="3"/>
  <c r="P58" i="2"/>
  <c r="Q42" i="1" s="1"/>
  <c r="H58" i="2"/>
  <c r="I42" i="1" s="1"/>
  <c r="O58" i="2"/>
  <c r="P42" i="1" s="1"/>
  <c r="G58" i="2"/>
  <c r="H42" i="1" s="1"/>
  <c r="N58" i="2"/>
  <c r="O42" i="1" s="1"/>
  <c r="F58" i="2"/>
  <c r="G42" i="1" s="1"/>
  <c r="M58" i="2"/>
  <c r="N42" i="1" s="1"/>
  <c r="E58" i="2"/>
  <c r="F42" i="1" s="1"/>
  <c r="L58" i="2"/>
  <c r="M42" i="1" s="1"/>
  <c r="D58" i="2"/>
  <c r="E42" i="1" s="1"/>
  <c r="Q58" i="2"/>
  <c r="R42" i="1" s="1"/>
  <c r="I58" i="2"/>
  <c r="J42" i="1" s="1"/>
  <c r="R23" i="1"/>
  <c r="R58" i="2"/>
  <c r="S42" i="1" s="1"/>
  <c r="K58" i="2"/>
  <c r="L42" i="1" s="1"/>
  <c r="C58" i="2"/>
  <c r="D42" i="1" s="1"/>
  <c r="J58" i="2"/>
  <c r="K42" i="1" s="1"/>
  <c r="B58" i="2"/>
  <c r="C42" i="1" s="1"/>
  <c r="L76" i="3"/>
  <c r="D76" i="3"/>
  <c r="K76" i="3"/>
  <c r="C76" i="3"/>
  <c r="R76" i="3"/>
  <c r="J76" i="3"/>
  <c r="B76" i="3"/>
  <c r="Q76" i="3"/>
  <c r="I76" i="3"/>
  <c r="P76" i="3"/>
  <c r="H76" i="3"/>
  <c r="O76" i="3"/>
  <c r="G76" i="3"/>
  <c r="N76" i="3"/>
  <c r="F76" i="3"/>
  <c r="M76" i="3"/>
  <c r="E76" i="3"/>
  <c r="N81" i="2"/>
  <c r="O66" i="1" s="1"/>
  <c r="F81" i="2"/>
  <c r="G66" i="1" s="1"/>
  <c r="M81" i="2"/>
  <c r="N66" i="1" s="1"/>
  <c r="E81" i="2"/>
  <c r="F66" i="1" s="1"/>
  <c r="L81" i="2"/>
  <c r="M66" i="1" s="1"/>
  <c r="D81" i="2"/>
  <c r="E66" i="1" s="1"/>
  <c r="K81" i="2"/>
  <c r="L66" i="1" s="1"/>
  <c r="C81" i="2"/>
  <c r="D66" i="1" s="1"/>
  <c r="R81" i="2"/>
  <c r="S66" i="1" s="1"/>
  <c r="J81" i="2"/>
  <c r="K66" i="1" s="1"/>
  <c r="B81" i="2"/>
  <c r="C66" i="1" s="1"/>
  <c r="O81" i="2"/>
  <c r="P66" i="1" s="1"/>
  <c r="G81" i="2"/>
  <c r="H66" i="1" s="1"/>
  <c r="I81" i="2"/>
  <c r="J66" i="1" s="1"/>
  <c r="H81" i="2"/>
  <c r="I66" i="1" s="1"/>
  <c r="Q81" i="2"/>
  <c r="R66" i="1" s="1"/>
  <c r="P81" i="2"/>
  <c r="Q66" i="1" s="1"/>
  <c r="P66" i="2"/>
  <c r="Q50" i="1" s="1"/>
  <c r="H66" i="2"/>
  <c r="I50" i="1" s="1"/>
  <c r="O66" i="2"/>
  <c r="P50" i="1" s="1"/>
  <c r="G66" i="2"/>
  <c r="H50" i="1" s="1"/>
  <c r="N66" i="2"/>
  <c r="O50" i="1" s="1"/>
  <c r="F66" i="2"/>
  <c r="G50" i="1" s="1"/>
  <c r="M66" i="2"/>
  <c r="N50" i="1" s="1"/>
  <c r="E66" i="2"/>
  <c r="F50" i="1" s="1"/>
  <c r="L66" i="2"/>
  <c r="M50" i="1" s="1"/>
  <c r="D66" i="2"/>
  <c r="E50" i="1" s="1"/>
  <c r="Q66" i="2"/>
  <c r="R50" i="1" s="1"/>
  <c r="I66" i="2"/>
  <c r="J50" i="1" s="1"/>
  <c r="R66" i="2"/>
  <c r="S50" i="1" s="1"/>
  <c r="K66" i="2"/>
  <c r="L50" i="1" s="1"/>
  <c r="J66" i="2"/>
  <c r="K50" i="1" s="1"/>
  <c r="R31" i="1"/>
  <c r="C66" i="2"/>
  <c r="D50" i="1" s="1"/>
  <c r="B66" i="2"/>
  <c r="C50" i="1" s="1"/>
  <c r="N61" i="3"/>
  <c r="F61" i="3"/>
  <c r="M61" i="3"/>
  <c r="E61" i="3"/>
  <c r="L61" i="3"/>
  <c r="D61" i="3"/>
  <c r="K61" i="3"/>
  <c r="C61" i="3"/>
  <c r="R61" i="3"/>
  <c r="J61" i="3"/>
  <c r="B61" i="3"/>
  <c r="Q61" i="3"/>
  <c r="I61" i="3"/>
  <c r="P61" i="3"/>
  <c r="H61" i="3"/>
  <c r="O61" i="3"/>
  <c r="G61" i="3"/>
  <c r="R77" i="2"/>
  <c r="S62" i="1" s="1"/>
  <c r="J77" i="2"/>
  <c r="K62" i="1" s="1"/>
  <c r="B77" i="2"/>
  <c r="C62" i="1" s="1"/>
  <c r="Q77" i="2"/>
  <c r="R62" i="1" s="1"/>
  <c r="I77" i="2"/>
  <c r="J62" i="1" s="1"/>
  <c r="P77" i="2"/>
  <c r="Q62" i="1" s="1"/>
  <c r="H77" i="2"/>
  <c r="I62" i="1" s="1"/>
  <c r="O77" i="2"/>
  <c r="P62" i="1" s="1"/>
  <c r="G77" i="2"/>
  <c r="H62" i="1" s="1"/>
  <c r="N77" i="2"/>
  <c r="O62" i="1" s="1"/>
  <c r="F77" i="2"/>
  <c r="G62" i="1" s="1"/>
  <c r="K77" i="2"/>
  <c r="L62" i="1" s="1"/>
  <c r="C77" i="2"/>
  <c r="D62" i="1" s="1"/>
  <c r="M77" i="2"/>
  <c r="N62" i="1" s="1"/>
  <c r="L77" i="2"/>
  <c r="M62" i="1" s="1"/>
  <c r="E77" i="2"/>
  <c r="F62" i="1" s="1"/>
  <c r="D77" i="2"/>
  <c r="E62" i="1" s="1"/>
  <c r="K64" i="3"/>
  <c r="C64" i="3"/>
  <c r="R64" i="3"/>
  <c r="J64" i="3"/>
  <c r="B64" i="3"/>
  <c r="Q64" i="3"/>
  <c r="I64" i="3"/>
  <c r="P64" i="3"/>
  <c r="H64" i="3"/>
  <c r="O64" i="3"/>
  <c r="G64" i="3"/>
  <c r="N64" i="3"/>
  <c r="F64" i="3"/>
  <c r="M64" i="3"/>
  <c r="E64" i="3"/>
  <c r="L64" i="3"/>
  <c r="D64" i="3"/>
  <c r="Q58" i="3"/>
  <c r="I58" i="3"/>
  <c r="P58" i="3"/>
  <c r="H58" i="3"/>
  <c r="O58" i="3"/>
  <c r="G58" i="3"/>
  <c r="N58" i="3"/>
  <c r="F58" i="3"/>
  <c r="M58" i="3"/>
  <c r="E58" i="3"/>
  <c r="L58" i="3"/>
  <c r="D58" i="3"/>
  <c r="K58" i="3"/>
  <c r="C58" i="3"/>
  <c r="R58" i="3"/>
  <c r="J58" i="3"/>
  <c r="B58" i="3"/>
  <c r="P80" i="3"/>
  <c r="H80" i="3"/>
  <c r="O80" i="3"/>
  <c r="G80" i="3"/>
  <c r="N80" i="3"/>
  <c r="F80" i="3"/>
  <c r="M80" i="3"/>
  <c r="E80" i="3"/>
  <c r="L80" i="3"/>
  <c r="D80" i="3"/>
  <c r="K80" i="3"/>
  <c r="C80" i="3"/>
  <c r="R80" i="3"/>
  <c r="J80" i="3"/>
  <c r="B80" i="3"/>
  <c r="Q80" i="3"/>
  <c r="I80" i="3"/>
  <c r="Q65" i="2"/>
  <c r="R49" i="1" s="1"/>
  <c r="I65" i="2"/>
  <c r="J49" i="1" s="1"/>
  <c r="P65" i="2"/>
  <c r="Q49" i="1" s="1"/>
  <c r="H65" i="2"/>
  <c r="I49" i="1" s="1"/>
  <c r="O65" i="2"/>
  <c r="P49" i="1" s="1"/>
  <c r="G65" i="2"/>
  <c r="H49" i="1" s="1"/>
  <c r="N65" i="2"/>
  <c r="O49" i="1" s="1"/>
  <c r="F65" i="2"/>
  <c r="G49" i="1" s="1"/>
  <c r="M65" i="2"/>
  <c r="N49" i="1" s="1"/>
  <c r="E65" i="2"/>
  <c r="F49" i="1" s="1"/>
  <c r="R65" i="2"/>
  <c r="S49" i="1" s="1"/>
  <c r="J65" i="2"/>
  <c r="K49" i="1" s="1"/>
  <c r="B65" i="2"/>
  <c r="C49" i="1" s="1"/>
  <c r="D65" i="2"/>
  <c r="E49" i="1" s="1"/>
  <c r="C65" i="2"/>
  <c r="D49" i="1" s="1"/>
  <c r="R30" i="1"/>
  <c r="L65" i="2"/>
  <c r="M49" i="1" s="1"/>
  <c r="K65" i="2"/>
  <c r="L49" i="1" s="1"/>
  <c r="O67" i="2"/>
  <c r="P51" i="1" s="1"/>
  <c r="G67" i="2"/>
  <c r="H51" i="1" s="1"/>
  <c r="N67" i="2"/>
  <c r="O51" i="1" s="1"/>
  <c r="F67" i="2"/>
  <c r="G51" i="1" s="1"/>
  <c r="M67" i="2"/>
  <c r="N51" i="1" s="1"/>
  <c r="E67" i="2"/>
  <c r="F51" i="1" s="1"/>
  <c r="L67" i="2"/>
  <c r="M51" i="1" s="1"/>
  <c r="D67" i="2"/>
  <c r="E51" i="1" s="1"/>
  <c r="K67" i="2"/>
  <c r="L51" i="1" s="1"/>
  <c r="C67" i="2"/>
  <c r="D51" i="1" s="1"/>
  <c r="P67" i="2"/>
  <c r="Q51" i="1" s="1"/>
  <c r="H67" i="2"/>
  <c r="I51" i="1" s="1"/>
  <c r="B67" i="2"/>
  <c r="C51" i="1" s="1"/>
  <c r="R67" i="2"/>
  <c r="S51" i="1" s="1"/>
  <c r="J67" i="2"/>
  <c r="K51" i="1" s="1"/>
  <c r="Q67" i="2"/>
  <c r="R51" i="1" s="1"/>
  <c r="R32" i="1"/>
  <c r="I67" i="2"/>
  <c r="J51" i="1" s="1"/>
  <c r="K77" i="3"/>
  <c r="C77" i="3"/>
  <c r="R77" i="3"/>
  <c r="J77" i="3"/>
  <c r="B77" i="3"/>
  <c r="Q77" i="3"/>
  <c r="I77" i="3"/>
  <c r="P77" i="3"/>
  <c r="H77" i="3"/>
  <c r="O77" i="3"/>
  <c r="G77" i="3"/>
  <c r="N77" i="3"/>
  <c r="F77" i="3"/>
  <c r="M77" i="3"/>
  <c r="E77" i="3"/>
  <c r="L77" i="3"/>
  <c r="D77" i="3"/>
  <c r="M82" i="2"/>
  <c r="N67" i="1" s="1"/>
  <c r="E82" i="2"/>
  <c r="F67" i="1" s="1"/>
  <c r="L82" i="2"/>
  <c r="M67" i="1" s="1"/>
  <c r="D82" i="2"/>
  <c r="E67" i="1" s="1"/>
  <c r="K82" i="2"/>
  <c r="L67" i="1" s="1"/>
  <c r="C82" i="2"/>
  <c r="D67" i="1" s="1"/>
  <c r="R82" i="2"/>
  <c r="S67" i="1" s="1"/>
  <c r="J82" i="2"/>
  <c r="K67" i="1" s="1"/>
  <c r="B82" i="2"/>
  <c r="C67" i="1" s="1"/>
  <c r="Q82" i="2"/>
  <c r="R67" i="1" s="1"/>
  <c r="I82" i="2"/>
  <c r="J67" i="1" s="1"/>
  <c r="N82" i="2"/>
  <c r="O67" i="1" s="1"/>
  <c r="F82" i="2"/>
  <c r="G67" i="1" s="1"/>
  <c r="P82" i="2"/>
  <c r="Q67" i="1" s="1"/>
  <c r="O82" i="2"/>
  <c r="P67" i="1" s="1"/>
  <c r="H82" i="2"/>
  <c r="I67" i="1" s="1"/>
  <c r="G82" i="2"/>
  <c r="H67" i="1" s="1"/>
  <c r="R65" i="3"/>
  <c r="J65" i="3"/>
  <c r="B65" i="3"/>
  <c r="Q65" i="3"/>
  <c r="I65" i="3"/>
  <c r="P65" i="3"/>
  <c r="H65" i="3"/>
  <c r="O65" i="3"/>
  <c r="G65" i="3"/>
  <c r="N65" i="3"/>
  <c r="F65" i="3"/>
  <c r="M65" i="3"/>
  <c r="E65" i="3"/>
  <c r="L65" i="3"/>
  <c r="D65" i="3"/>
  <c r="K65" i="3"/>
  <c r="C65" i="3"/>
  <c r="R85" i="2"/>
  <c r="S70" i="1" s="1"/>
  <c r="J85" i="2"/>
  <c r="K70" i="1" s="1"/>
  <c r="B85" i="2"/>
  <c r="C70" i="1" s="1"/>
  <c r="Q85" i="2"/>
  <c r="R70" i="1" s="1"/>
  <c r="I85" i="2"/>
  <c r="J70" i="1" s="1"/>
  <c r="P85" i="2"/>
  <c r="Q70" i="1" s="1"/>
  <c r="H85" i="2"/>
  <c r="I70" i="1" s="1"/>
  <c r="O85" i="2"/>
  <c r="P70" i="1" s="1"/>
  <c r="G85" i="2"/>
  <c r="H70" i="1" s="1"/>
  <c r="N85" i="2"/>
  <c r="O70" i="1" s="1"/>
  <c r="F85" i="2"/>
  <c r="G70" i="1" s="1"/>
  <c r="K85" i="2"/>
  <c r="L70" i="1" s="1"/>
  <c r="C85" i="2"/>
  <c r="D70" i="1" s="1"/>
  <c r="E85" i="2"/>
  <c r="F70" i="1" s="1"/>
  <c r="D85" i="2"/>
  <c r="E70" i="1" s="1"/>
  <c r="M85" i="2"/>
  <c r="N70" i="1" s="1"/>
  <c r="L85" i="2"/>
  <c r="M70" i="1" s="1"/>
  <c r="P59" i="3"/>
  <c r="H59" i="3"/>
  <c r="O59" i="3"/>
  <c r="G59" i="3"/>
  <c r="N59" i="3"/>
  <c r="F59" i="3"/>
  <c r="M59" i="3"/>
  <c r="E59" i="3"/>
  <c r="L59" i="3"/>
  <c r="D59" i="3"/>
  <c r="K59" i="3"/>
  <c r="C59" i="3"/>
  <c r="R59" i="3"/>
  <c r="J59" i="3"/>
  <c r="B59" i="3"/>
  <c r="Q59" i="3"/>
  <c r="I59" i="3"/>
  <c r="M83" i="3"/>
  <c r="E83" i="3"/>
  <c r="L83" i="3"/>
  <c r="D83" i="3"/>
  <c r="K83" i="3"/>
  <c r="C83" i="3"/>
  <c r="R83" i="3"/>
  <c r="J83" i="3"/>
  <c r="B83" i="3"/>
  <c r="Q83" i="3"/>
  <c r="I83" i="3"/>
  <c r="P83" i="3"/>
  <c r="H83" i="3"/>
  <c r="O83" i="3"/>
  <c r="G83" i="3"/>
  <c r="N83" i="3"/>
  <c r="F83" i="3"/>
  <c r="M62" i="3"/>
  <c r="E62" i="3"/>
  <c r="L62" i="3"/>
  <c r="D62" i="3"/>
  <c r="K62" i="3"/>
  <c r="C62" i="3"/>
  <c r="R62" i="3"/>
  <c r="J62" i="3"/>
  <c r="B62" i="3"/>
  <c r="Q62" i="3"/>
  <c r="I62" i="3"/>
  <c r="P62" i="3"/>
  <c r="H62" i="3"/>
  <c r="O62" i="3"/>
  <c r="G62" i="3"/>
  <c r="N62" i="3"/>
  <c r="F62" i="3"/>
  <c r="K76" i="2"/>
  <c r="L61" i="1" s="1"/>
  <c r="C76" i="2"/>
  <c r="D61" i="1" s="1"/>
  <c r="R76" i="2"/>
  <c r="S61" i="1" s="1"/>
  <c r="J76" i="2"/>
  <c r="K61" i="1" s="1"/>
  <c r="B76" i="2"/>
  <c r="C61" i="1" s="1"/>
  <c r="Q76" i="2"/>
  <c r="R61" i="1" s="1"/>
  <c r="I76" i="2"/>
  <c r="J61" i="1" s="1"/>
  <c r="P76" i="2"/>
  <c r="Q61" i="1" s="1"/>
  <c r="H76" i="2"/>
  <c r="I61" i="1" s="1"/>
  <c r="O76" i="2"/>
  <c r="P61" i="1" s="1"/>
  <c r="G76" i="2"/>
  <c r="H61" i="1" s="1"/>
  <c r="L76" i="2"/>
  <c r="M61" i="1" s="1"/>
  <c r="D76" i="2"/>
  <c r="E61" i="1" s="1"/>
  <c r="N76" i="2"/>
  <c r="O61" i="1" s="1"/>
  <c r="M76" i="2"/>
  <c r="N61" i="1" s="1"/>
  <c r="F76" i="2"/>
  <c r="G61" i="1" s="1"/>
  <c r="E76" i="2"/>
  <c r="F61" i="1" s="1"/>
  <c r="K63" i="2"/>
  <c r="L47" i="1" s="1"/>
  <c r="C63" i="2"/>
  <c r="D47" i="1" s="1"/>
  <c r="R63" i="2"/>
  <c r="S47" i="1" s="1"/>
  <c r="J63" i="2"/>
  <c r="K47" i="1" s="1"/>
  <c r="B63" i="2"/>
  <c r="C47" i="1" s="1"/>
  <c r="Q63" i="2"/>
  <c r="R47" i="1" s="1"/>
  <c r="I63" i="2"/>
  <c r="J47" i="1" s="1"/>
  <c r="P63" i="2"/>
  <c r="Q47" i="1" s="1"/>
  <c r="H63" i="2"/>
  <c r="I47" i="1" s="1"/>
  <c r="O63" i="2"/>
  <c r="P47" i="1" s="1"/>
  <c r="G63" i="2"/>
  <c r="H47" i="1" s="1"/>
  <c r="L63" i="2"/>
  <c r="M47" i="1" s="1"/>
  <c r="D63" i="2"/>
  <c r="E47" i="1" s="1"/>
  <c r="F63" i="2"/>
  <c r="G47" i="1" s="1"/>
  <c r="E63" i="2"/>
  <c r="F47" i="1" s="1"/>
  <c r="R28" i="1"/>
  <c r="N63" i="2"/>
  <c r="O47" i="1" s="1"/>
  <c r="M63" i="2"/>
  <c r="N47" i="1" s="1"/>
  <c r="Q79" i="3"/>
  <c r="I79" i="3"/>
  <c r="P79" i="3"/>
  <c r="H79" i="3"/>
  <c r="O79" i="3"/>
  <c r="G79" i="3"/>
  <c r="N79" i="3"/>
  <c r="F79" i="3"/>
  <c r="M79" i="3"/>
  <c r="E79" i="3"/>
  <c r="L79" i="3"/>
  <c r="D79" i="3"/>
  <c r="K79" i="3"/>
  <c r="C79" i="3"/>
  <c r="R79" i="3"/>
  <c r="J79" i="3"/>
  <c r="B79" i="3"/>
  <c r="R78" i="3"/>
  <c r="J78" i="3"/>
  <c r="B78" i="3"/>
  <c r="Q78" i="3"/>
  <c r="I78" i="3"/>
  <c r="P78" i="3"/>
  <c r="H78" i="3"/>
  <c r="O78" i="3"/>
  <c r="G78" i="3"/>
  <c r="N78" i="3"/>
  <c r="F78" i="3"/>
  <c r="M78" i="3"/>
  <c r="E78" i="3"/>
  <c r="L78" i="3"/>
  <c r="D78" i="3"/>
  <c r="K78" i="3"/>
  <c r="C78" i="3"/>
  <c r="O60" i="3"/>
  <c r="G60" i="3"/>
  <c r="N60" i="3"/>
  <c r="F60" i="3"/>
  <c r="M60" i="3"/>
  <c r="E60" i="3"/>
  <c r="L60" i="3"/>
  <c r="D60" i="3"/>
  <c r="K60" i="3"/>
  <c r="C60" i="3"/>
  <c r="R60" i="3"/>
  <c r="J60" i="3"/>
  <c r="B60" i="3"/>
  <c r="Q60" i="3"/>
  <c r="I60" i="3"/>
  <c r="P60" i="3"/>
  <c r="H60" i="3"/>
  <c r="M75" i="3"/>
  <c r="E75" i="3"/>
  <c r="L75" i="3"/>
  <c r="D75" i="3"/>
  <c r="K75" i="3"/>
  <c r="C75" i="3"/>
  <c r="R75" i="3"/>
  <c r="J75" i="3"/>
  <c r="B75" i="3"/>
  <c r="Q75" i="3"/>
  <c r="I75" i="3"/>
  <c r="P75" i="3"/>
  <c r="H75" i="3"/>
  <c r="O75" i="3"/>
  <c r="G75" i="3"/>
  <c r="N75" i="3"/>
  <c r="F75" i="3"/>
  <c r="O59" i="2"/>
  <c r="P43" i="1" s="1"/>
  <c r="G59" i="2"/>
  <c r="H43" i="1" s="1"/>
  <c r="N59" i="2"/>
  <c r="O43" i="1" s="1"/>
  <c r="F59" i="2"/>
  <c r="G43" i="1" s="1"/>
  <c r="M59" i="2"/>
  <c r="N43" i="1" s="1"/>
  <c r="E59" i="2"/>
  <c r="F43" i="1" s="1"/>
  <c r="L59" i="2"/>
  <c r="M43" i="1" s="1"/>
  <c r="D59" i="2"/>
  <c r="E43" i="1" s="1"/>
  <c r="K59" i="2"/>
  <c r="L43" i="1" s="1"/>
  <c r="C59" i="2"/>
  <c r="D43" i="1" s="1"/>
  <c r="P59" i="2"/>
  <c r="Q43" i="1" s="1"/>
  <c r="H59" i="2"/>
  <c r="I43" i="1" s="1"/>
  <c r="J59" i="2"/>
  <c r="K43" i="1" s="1"/>
  <c r="I59" i="2"/>
  <c r="J43" i="1" s="1"/>
  <c r="B59" i="2"/>
  <c r="C43" i="1" s="1"/>
  <c r="R59" i="2"/>
  <c r="S43" i="1" s="1"/>
  <c r="Q59" i="2"/>
  <c r="R43" i="1" s="1"/>
  <c r="R24" i="1"/>
  <c r="N68" i="2"/>
  <c r="O52" i="1" s="1"/>
  <c r="F68" i="2"/>
  <c r="G52" i="1" s="1"/>
  <c r="M68" i="2"/>
  <c r="N52" i="1" s="1"/>
  <c r="E68" i="2"/>
  <c r="F52" i="1" s="1"/>
  <c r="L68" i="2"/>
  <c r="M52" i="1" s="1"/>
  <c r="D68" i="2"/>
  <c r="E52" i="1" s="1"/>
  <c r="K68" i="2"/>
  <c r="L52" i="1" s="1"/>
  <c r="C68" i="2"/>
  <c r="D52" i="1" s="1"/>
  <c r="R68" i="2"/>
  <c r="S52" i="1" s="1"/>
  <c r="J68" i="2"/>
  <c r="K52" i="1" s="1"/>
  <c r="B68" i="2"/>
  <c r="C52" i="1" s="1"/>
  <c r="O68" i="2"/>
  <c r="P52" i="1" s="1"/>
  <c r="G68" i="2"/>
  <c r="H52" i="1" s="1"/>
  <c r="R33" i="1"/>
  <c r="Q68" i="2"/>
  <c r="R52" i="1" s="1"/>
  <c r="P68" i="2"/>
  <c r="Q52" i="1" s="1"/>
  <c r="I68" i="2"/>
  <c r="J52" i="1" s="1"/>
  <c r="H68" i="2"/>
  <c r="I52" i="1" s="1"/>
  <c r="L75" i="2"/>
  <c r="M60" i="1" s="1"/>
  <c r="D75" i="2"/>
  <c r="E60" i="1" s="1"/>
  <c r="K75" i="2"/>
  <c r="L60" i="1" s="1"/>
  <c r="C75" i="2"/>
  <c r="D60" i="1" s="1"/>
  <c r="R75" i="2"/>
  <c r="S60" i="1" s="1"/>
  <c r="J75" i="2"/>
  <c r="K60" i="1" s="1"/>
  <c r="B75" i="2"/>
  <c r="C60" i="1" s="1"/>
  <c r="Q75" i="2"/>
  <c r="R60" i="1" s="1"/>
  <c r="I75" i="2"/>
  <c r="J60" i="1" s="1"/>
  <c r="P75" i="2"/>
  <c r="Q60" i="1" s="1"/>
  <c r="H75" i="2"/>
  <c r="I60" i="1" s="1"/>
  <c r="M75" i="2"/>
  <c r="N60" i="1" s="1"/>
  <c r="E75" i="2"/>
  <c r="F60" i="1" s="1"/>
  <c r="O75" i="2"/>
  <c r="P60" i="1" s="1"/>
  <c r="N75" i="2"/>
  <c r="O60" i="1" s="1"/>
  <c r="G75" i="2"/>
  <c r="H60" i="1" s="1"/>
  <c r="F75" i="2"/>
  <c r="G60" i="1" s="1"/>
  <c r="O80" i="2"/>
  <c r="P65" i="1" s="1"/>
  <c r="G80" i="2"/>
  <c r="H65" i="1" s="1"/>
  <c r="N80" i="2"/>
  <c r="O65" i="1" s="1"/>
  <c r="F80" i="2"/>
  <c r="G65" i="1" s="1"/>
  <c r="M80" i="2"/>
  <c r="N65" i="1" s="1"/>
  <c r="E80" i="2"/>
  <c r="F65" i="1" s="1"/>
  <c r="L80" i="2"/>
  <c r="M65" i="1" s="1"/>
  <c r="D80" i="2"/>
  <c r="E65" i="1" s="1"/>
  <c r="K80" i="2"/>
  <c r="L65" i="1" s="1"/>
  <c r="C80" i="2"/>
  <c r="D65" i="1" s="1"/>
  <c r="P80" i="2"/>
  <c r="Q65" i="1" s="1"/>
  <c r="H80" i="2"/>
  <c r="I65" i="1" s="1"/>
  <c r="B80" i="2"/>
  <c r="C65" i="1" s="1"/>
  <c r="R80" i="2"/>
  <c r="S65" i="1" s="1"/>
  <c r="Q80" i="2"/>
  <c r="R65" i="1" s="1"/>
  <c r="J80" i="2"/>
  <c r="K65" i="1" s="1"/>
  <c r="I80" i="2"/>
  <c r="J65" i="1" s="1"/>
  <c r="P67" i="3"/>
  <c r="H67" i="3"/>
  <c r="O67" i="3"/>
  <c r="G67" i="3"/>
  <c r="N67" i="3"/>
  <c r="F67" i="3"/>
  <c r="M67" i="3"/>
  <c r="E67" i="3"/>
  <c r="L67" i="3"/>
  <c r="D67" i="3"/>
  <c r="K67" i="3"/>
  <c r="C67" i="3"/>
  <c r="R67" i="3"/>
  <c r="J67" i="3"/>
  <c r="B67" i="3"/>
  <c r="Q67" i="3"/>
  <c r="I67" i="3"/>
  <c r="O68" i="3"/>
  <c r="G68" i="3"/>
  <c r="N68" i="3"/>
  <c r="F68" i="3"/>
  <c r="M68" i="3"/>
  <c r="E68" i="3"/>
  <c r="L68" i="3"/>
  <c r="D68" i="3"/>
  <c r="K68" i="3"/>
  <c r="C68" i="3"/>
  <c r="R68" i="3"/>
  <c r="J68" i="3"/>
  <c r="B68" i="3"/>
  <c r="Q68" i="3"/>
  <c r="I68" i="3"/>
  <c r="P68" i="3"/>
  <c r="H68" i="3"/>
  <c r="L83" i="2"/>
  <c r="M68" i="1" s="1"/>
  <c r="D83" i="2"/>
  <c r="E68" i="1" s="1"/>
  <c r="K83" i="2"/>
  <c r="L68" i="1" s="1"/>
  <c r="C83" i="2"/>
  <c r="D68" i="1" s="1"/>
  <c r="R83" i="2"/>
  <c r="S68" i="1" s="1"/>
  <c r="J83" i="2"/>
  <c r="K68" i="1" s="1"/>
  <c r="B83" i="2"/>
  <c r="C68" i="1" s="1"/>
  <c r="Q83" i="2"/>
  <c r="R68" i="1" s="1"/>
  <c r="I83" i="2"/>
  <c r="J68" i="1" s="1"/>
  <c r="P83" i="2"/>
  <c r="Q68" i="1" s="1"/>
  <c r="H83" i="2"/>
  <c r="I68" i="1" s="1"/>
  <c r="M83" i="2"/>
  <c r="N68" i="1" s="1"/>
  <c r="E83" i="2"/>
  <c r="F68" i="1" s="1"/>
  <c r="G83" i="2"/>
  <c r="H68" i="1" s="1"/>
  <c r="F83" i="2"/>
  <c r="G68" i="1" s="1"/>
  <c r="O83" i="2"/>
  <c r="P68" i="1" s="1"/>
  <c r="N83" i="2"/>
  <c r="O68" i="1" s="1"/>
  <c r="O81" i="3"/>
  <c r="G81" i="3"/>
  <c r="N81" i="3"/>
  <c r="F81" i="3"/>
  <c r="M81" i="3"/>
  <c r="E81" i="3"/>
  <c r="L81" i="3"/>
  <c r="D81" i="3"/>
  <c r="K81" i="3"/>
  <c r="C81" i="3"/>
  <c r="R81" i="3"/>
  <c r="J81" i="3"/>
  <c r="B81" i="3"/>
  <c r="Q81" i="3"/>
  <c r="I81" i="3"/>
  <c r="P81" i="3"/>
  <c r="H81" i="3"/>
  <c r="L84" i="3"/>
  <c r="D84" i="3"/>
  <c r="K84" i="3"/>
  <c r="C84" i="3"/>
  <c r="R84" i="3"/>
  <c r="J84" i="3"/>
  <c r="B84" i="3"/>
  <c r="Q84" i="3"/>
  <c r="I84" i="3"/>
  <c r="P84" i="3"/>
  <c r="H84" i="3"/>
  <c r="O84" i="3"/>
  <c r="G84" i="3"/>
  <c r="N84" i="3"/>
  <c r="F84" i="3"/>
  <c r="M84" i="3"/>
  <c r="E84" i="3"/>
  <c r="L63" i="3"/>
  <c r="D63" i="3"/>
  <c r="K63" i="3"/>
  <c r="C63" i="3"/>
  <c r="R63" i="3"/>
  <c r="J63" i="3"/>
  <c r="B63" i="3"/>
  <c r="Q63" i="3"/>
  <c r="I63" i="3"/>
  <c r="P63" i="3"/>
  <c r="H63" i="3"/>
  <c r="O63" i="3"/>
  <c r="G63" i="3"/>
  <c r="N63" i="3"/>
  <c r="F63" i="3"/>
  <c r="M63" i="3"/>
  <c r="E63" i="3"/>
  <c r="R64" i="2"/>
  <c r="S48" i="1" s="1"/>
  <c r="J64" i="2"/>
  <c r="K48" i="1" s="1"/>
  <c r="B64" i="2"/>
  <c r="C48" i="1" s="1"/>
  <c r="Q64" i="2"/>
  <c r="R48" i="1" s="1"/>
  <c r="I64" i="2"/>
  <c r="J48" i="1" s="1"/>
  <c r="P64" i="2"/>
  <c r="Q48" i="1" s="1"/>
  <c r="H64" i="2"/>
  <c r="I48" i="1" s="1"/>
  <c r="O64" i="2"/>
  <c r="P48" i="1" s="1"/>
  <c r="G64" i="2"/>
  <c r="H48" i="1" s="1"/>
  <c r="N64" i="2"/>
  <c r="O48" i="1" s="1"/>
  <c r="F64" i="2"/>
  <c r="G48" i="1" s="1"/>
  <c r="K64" i="2"/>
  <c r="L48" i="1" s="1"/>
  <c r="C64" i="2"/>
  <c r="D48" i="1" s="1"/>
  <c r="R29" i="1"/>
  <c r="M64" i="2"/>
  <c r="N48" i="1" s="1"/>
  <c r="L64" i="2"/>
  <c r="M48" i="1" s="1"/>
  <c r="E64" i="2"/>
  <c r="F48" i="1" s="1"/>
  <c r="D64" i="2"/>
  <c r="E48" i="1" s="1"/>
  <c r="N60" i="2"/>
  <c r="O44" i="1" s="1"/>
  <c r="F60" i="2"/>
  <c r="G44" i="1" s="1"/>
  <c r="M60" i="2"/>
  <c r="N44" i="1" s="1"/>
  <c r="E60" i="2"/>
  <c r="F44" i="1" s="1"/>
  <c r="L60" i="2"/>
  <c r="M44" i="1" s="1"/>
  <c r="D60" i="2"/>
  <c r="E44" i="1" s="1"/>
  <c r="K60" i="2"/>
  <c r="L44" i="1" s="1"/>
  <c r="C60" i="2"/>
  <c r="D44" i="1" s="1"/>
  <c r="R60" i="2"/>
  <c r="S44" i="1" s="1"/>
  <c r="J60" i="2"/>
  <c r="K44" i="1" s="1"/>
  <c r="B60" i="2"/>
  <c r="C44" i="1" s="1"/>
  <c r="O60" i="2"/>
  <c r="P44" i="1" s="1"/>
  <c r="G60" i="2"/>
  <c r="H44" i="1" s="1"/>
  <c r="Q60" i="2"/>
  <c r="R44" i="1" s="1"/>
  <c r="P60" i="2"/>
  <c r="Q44" i="1" s="1"/>
  <c r="I60" i="2"/>
  <c r="J44" i="1" s="1"/>
  <c r="H60" i="2"/>
  <c r="I44" i="1" s="1"/>
  <c r="R25" i="1"/>
</calcChain>
</file>

<file path=xl/sharedStrings.xml><?xml version="1.0" encoding="utf-8"?>
<sst xmlns="http://schemas.openxmlformats.org/spreadsheetml/2006/main" count="516" uniqueCount="83">
  <si>
    <t>Ár</t>
  </si>
  <si>
    <t>Launatafla</t>
  </si>
  <si>
    <t>Orlof</t>
  </si>
  <si>
    <t>Sérstakar álagsgreiðslur</t>
  </si>
  <si>
    <t>Leiðsögumaður</t>
  </si>
  <si>
    <t>Án orlofs</t>
  </si>
  <si>
    <t>Tungumála álag, eitt auka tungumál</t>
  </si>
  <si>
    <t>Ökuleiðsögumaður</t>
  </si>
  <si>
    <t>24 dagar (10,17% orlof)</t>
  </si>
  <si>
    <t>Tungumála álag, tvö auka tungumál</t>
  </si>
  <si>
    <t>2025 apríl</t>
  </si>
  <si>
    <t>27 dagar (5 ára starfsreynsla)</t>
  </si>
  <si>
    <t>Tungumála álag, þrjú auka tungumál</t>
  </si>
  <si>
    <t>Tímakaup</t>
  </si>
  <si>
    <t>30 dagar (10 ára starfsreynsla)</t>
  </si>
  <si>
    <t>Sérfræðiálag</t>
  </si>
  <si>
    <t>Mánaðarlaun</t>
  </si>
  <si>
    <t>Dagvinna</t>
  </si>
  <si>
    <t>Yfirvinna</t>
  </si>
  <si>
    <t>Stórhátíð</t>
  </si>
  <si>
    <t>Dagvinna með des/orlofsuppbót</t>
  </si>
  <si>
    <t>Yfirleiðsögumaður</t>
  </si>
  <si>
    <t>Flokkur 1 grunnlaun</t>
  </si>
  <si>
    <t>Flokkur 2 grunnlaun</t>
  </si>
  <si>
    <t>Flokkur 2 eftir 1 ár</t>
  </si>
  <si>
    <t>Flokkur 3 grunnlaun</t>
  </si>
  <si>
    <t>Flokkur 3 eftir 1 ár</t>
  </si>
  <si>
    <t>Flokkur 3 eftir 3 ár</t>
  </si>
  <si>
    <t>Flokkur 3 eftir 5 ár</t>
  </si>
  <si>
    <t>Flokkur 4 grunnlaun</t>
  </si>
  <si>
    <t>Flokkur 4 eftir 1 ár</t>
  </si>
  <si>
    <t>Flokkur 4 eftir 3 ár</t>
  </si>
  <si>
    <t>Flokkur 4 eftir 5 ár</t>
  </si>
  <si>
    <t>Dagsferðir</t>
  </si>
  <si>
    <t>Lengd ferðar --&gt;</t>
  </si>
  <si>
    <t>4  klst.</t>
  </si>
  <si>
    <t>4 klst.</t>
  </si>
  <si>
    <t>5 klst.</t>
  </si>
  <si>
    <t>6 klst.</t>
  </si>
  <si>
    <t>7 klst.</t>
  </si>
  <si>
    <t>8 klst.</t>
  </si>
  <si>
    <t>9 klst</t>
  </si>
  <si>
    <t>10 klst.</t>
  </si>
  <si>
    <t>11 klst.</t>
  </si>
  <si>
    <t>12 klst.</t>
  </si>
  <si>
    <t>mán-föst</t>
  </si>
  <si>
    <t>lau-sun</t>
  </si>
  <si>
    <t>Desember og orlofsuppbót</t>
  </si>
  <si>
    <t>Langferðir</t>
  </si>
  <si>
    <t>Langferðir 11 klst./dag</t>
  </si>
  <si>
    <t>2 dagar</t>
  </si>
  <si>
    <t xml:space="preserve"> 4 dagar</t>
  </si>
  <si>
    <t>6 dagar</t>
  </si>
  <si>
    <t>8 dagar</t>
  </si>
  <si>
    <t>10 dagar</t>
  </si>
  <si>
    <t>12 dagar</t>
  </si>
  <si>
    <t>14 dagar</t>
  </si>
  <si>
    <t>Virkir dagar</t>
  </si>
  <si>
    <t>Alm. frídagar</t>
  </si>
  <si>
    <t>Langferðir - Tjald og skálaferðir</t>
  </si>
  <si>
    <t>Langferðir 12 klst./dag</t>
  </si>
  <si>
    <t>Ár valið</t>
  </si>
  <si>
    <t>Dagvinnukaup</t>
  </si>
  <si>
    <t>Yfirvinnukaup</t>
  </si>
  <si>
    <t>Stórhátíðakaup</t>
  </si>
  <si>
    <t>Dagvinnukaup með des/orlofsuppbót</t>
  </si>
  <si>
    <t>Núverandi</t>
  </si>
  <si>
    <t>Launatafla með orlofi</t>
  </si>
  <si>
    <t>Lengd ferðar -&gt;</t>
  </si>
  <si>
    <t>4  kist.</t>
  </si>
  <si>
    <t>4 kist.</t>
  </si>
  <si>
    <t>Tjald og skálaferðir</t>
  </si>
  <si>
    <t>11 kist.</t>
  </si>
  <si>
    <t>Langferðir í tjaldferðum og skálaferðurm</t>
  </si>
  <si>
    <t>Launaflokkur 1</t>
  </si>
  <si>
    <t>Fararstjóri, hópstjóri. Er fulltrúi ferðaskrifstofu og veitir ferðamönnum hagnýta þjónustu í samræmi við óskir ferðaskrifstofu.</t>
  </si>
  <si>
    <t>Launaflokkur 2</t>
  </si>
  <si>
    <t>Leiðsögumaður án sérstakrar menntunar á sviði leiðsagnar eða annars starfsundirbúnings fyrir leiðsögustörf.</t>
  </si>
  <si>
    <t>Launaflokkur 3</t>
  </si>
  <si>
    <t xml:space="preserve">Leiðsögumaður með starfsundirbúning (menntun eða raunfærnimat) á sérsviði leiðsagnar eða í almennri leiðsögn sem nýtist í starfi. Getur forgangsraðað og skipulagt eigin störf í krefjandi aðstæðum og sýnt fagmennsku í starfi. Getur miðlað þekkingu sinni og leikni, rökstutt og ígrundað þær aðferðir sem hann nýtir auk þess að búa yfir ábyrgð gagnvart starfsumhverfi og hæfni til að leiðbeina öðrum. </t>
  </si>
  <si>
    <t>Launaflokkur 4</t>
  </si>
  <si>
    <t>Leiðsögumaður með starfsundirbúning fyrir almenna leiðsögn (menntun eða raunfærnimat) í samræmi við IST EN 15565:2008 um þjálfun og menntun leiðsögumanna sem nýtist í starfi, með próf í leiðsögn. Hefur sérhæfða þekkingu sem nýtist við leiðsögn. Getur forgangsraðað og skipulagt eigin störf í krefjandi aðstæðum og sýnt fagmennsku í starfi. Getur miðlað þekkingu sinni og leikni, rökstutt og ígrundað þær aðferðir sem hann nýtir auk þess að búa yfir ábyrgð gagnvart starfsumhverfi og hæfni til að leiðbeina öðrum.</t>
  </si>
  <si>
    <t>2026 apríl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</si>
</sst>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Aptos Narrow"/>
    </font>
    <font>
      <sz val="11"/>
      <name val="Calibri"/>
      <family val="2"/>
    </font>
    <font>
      <sz val="11"/>
      <name val="Aptos Narrow"/>
      <family val="2"/>
    </font>
    <font>
      <b/>
      <sz val="11"/>
      <name val="Aptos Narrow"/>
      <family val="2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left" vertical="top"/>
    </xf>
    <xf numFmtId="9" fontId="2" fillId="0" borderId="0" xfId="0" applyNumberFormat="1" applyFont="1"/>
    <xf numFmtId="0" fontId="2" fillId="0" borderId="0" xfId="0" applyFont="1"/>
    <xf numFmtId="10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vertical="top" wrapText="1"/>
    </xf>
    <xf numFmtId="0" fontId="3" fillId="0" borderId="0" xfId="0" applyFont="1"/>
    <xf numFmtId="3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3" fontId="2" fillId="0" borderId="0" xfId="0" applyNumberFormat="1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"/>
  <sheetViews>
    <sheetView tabSelected="1" workbookViewId="0">
      <selection activeCell="O12" sqref="O12"/>
    </sheetView>
  </sheetViews>
  <sheetFormatPr defaultColWidth="11" defaultRowHeight="15" x14ac:dyDescent="0.25"/>
  <cols>
    <col min="1" max="1" width="24.75" customWidth="1"/>
    <col min="2" max="2" width="20.75" customWidth="1"/>
    <col min="3" max="3" width="13.875" customWidth="1"/>
    <col min="4" max="4" width="13.25" customWidth="1"/>
    <col min="5" max="5" width="14.75" customWidth="1"/>
    <col min="6" max="6" width="34.625" customWidth="1"/>
    <col min="15" max="15" width="64.375" customWidth="1"/>
    <col min="18" max="18" width="31.625" customWidth="1"/>
    <col min="19" max="19" width="10" customWidth="1"/>
  </cols>
  <sheetData>
    <row r="1" spans="1:19" x14ac:dyDescent="0.25">
      <c r="K1" s="7" t="s">
        <v>0</v>
      </c>
      <c r="L1" s="7" t="s">
        <v>1</v>
      </c>
      <c r="O1" s="7" t="s">
        <v>2</v>
      </c>
      <c r="R1" s="7" t="s">
        <v>3</v>
      </c>
    </row>
    <row r="2" spans="1:19" x14ac:dyDescent="0.25">
      <c r="A2" s="7" t="s">
        <v>0</v>
      </c>
      <c r="B2" s="7">
        <v>2026</v>
      </c>
      <c r="K2" s="7">
        <v>2024</v>
      </c>
      <c r="L2" s="7" t="s">
        <v>4</v>
      </c>
      <c r="O2" s="7" t="s">
        <v>5</v>
      </c>
      <c r="P2" s="6">
        <v>0</v>
      </c>
      <c r="R2" s="7" t="s">
        <v>6</v>
      </c>
      <c r="S2" s="6">
        <v>0.2</v>
      </c>
    </row>
    <row r="3" spans="1:19" x14ac:dyDescent="0.25">
      <c r="A3" s="7" t="s">
        <v>1</v>
      </c>
      <c r="B3" s="7" t="s">
        <v>4</v>
      </c>
      <c r="K3" s="7">
        <v>2025</v>
      </c>
      <c r="L3" s="7" t="s">
        <v>7</v>
      </c>
      <c r="O3" s="7" t="s">
        <v>8</v>
      </c>
      <c r="P3" s="8">
        <v>0.1017</v>
      </c>
      <c r="R3" s="7" t="s">
        <v>9</v>
      </c>
      <c r="S3" s="6">
        <v>0.4</v>
      </c>
    </row>
    <row r="4" spans="1:19" x14ac:dyDescent="0.25">
      <c r="A4" s="7" t="s">
        <v>2</v>
      </c>
      <c r="B4" s="7" t="s">
        <v>5</v>
      </c>
      <c r="K4" s="7" t="s">
        <v>10</v>
      </c>
      <c r="O4" s="7" t="s">
        <v>11</v>
      </c>
      <c r="P4" s="8">
        <v>0.1159</v>
      </c>
      <c r="R4" s="7" t="s">
        <v>12</v>
      </c>
      <c r="S4" s="6">
        <v>0.6</v>
      </c>
    </row>
    <row r="5" spans="1:19" x14ac:dyDescent="0.25">
      <c r="C5" s="24" t="s">
        <v>13</v>
      </c>
      <c r="D5" s="25"/>
      <c r="E5" s="25"/>
      <c r="F5" s="25"/>
      <c r="K5" s="7">
        <v>2026</v>
      </c>
      <c r="O5" s="7" t="s">
        <v>14</v>
      </c>
      <c r="P5" s="8">
        <v>0.13039999999999999</v>
      </c>
      <c r="R5" s="7" t="s">
        <v>15</v>
      </c>
      <c r="S5" s="6">
        <v>0.25</v>
      </c>
    </row>
    <row r="6" spans="1:19" x14ac:dyDescent="0.25">
      <c r="B6" s="9" t="s">
        <v>16</v>
      </c>
      <c r="C6" s="9" t="s">
        <v>17</v>
      </c>
      <c r="D6" s="9" t="s">
        <v>18</v>
      </c>
      <c r="E6" s="9" t="s">
        <v>19</v>
      </c>
      <c r="F6" s="9" t="s">
        <v>20</v>
      </c>
      <c r="K6" t="s">
        <v>82</v>
      </c>
      <c r="R6" s="7" t="s">
        <v>21</v>
      </c>
      <c r="S6" s="6">
        <v>0.25</v>
      </c>
    </row>
    <row r="7" spans="1:19" x14ac:dyDescent="0.25">
      <c r="A7" s="7" t="s">
        <v>22</v>
      </c>
      <c r="B7" s="1">
        <f>IF($B$3="Leiðsögumaður",Leiðsögn!B22,Ökuleiðsögn!B22)</f>
        <v>526322.69999999995</v>
      </c>
      <c r="C7" s="1">
        <f>IF($B$3="Leiðsögumaður",Leiðsögn!C22,Ökuleiðsögn!C22)</f>
        <v>3239</v>
      </c>
      <c r="D7" s="1">
        <f>IF($B$3="Leiðsögumaður",Leiðsögn!D22,Ökuleiðsögn!D22)</f>
        <v>5466</v>
      </c>
      <c r="E7" s="1">
        <f>IF($B$3="Leiðsögumaður",Leiðsögn!E22,Ökuleiðsögn!E22)</f>
        <v>7237</v>
      </c>
      <c r="F7" s="1">
        <f>IF($B$3="Leiðsögumaður",Leiðsögn!F22,Ökuleiðsögn!F22)</f>
        <v>3346</v>
      </c>
      <c r="K7" s="7">
        <v>2027</v>
      </c>
    </row>
    <row r="8" spans="1:19" x14ac:dyDescent="0.25">
      <c r="A8" s="7" t="s">
        <v>23</v>
      </c>
      <c r="B8" s="1">
        <f>IF($B$3="Leiðsögumaður",Leiðsögn!B23,Ökuleiðsögn!B23)</f>
        <v>526322.69999999995</v>
      </c>
      <c r="C8" s="1">
        <f>IF($B$3="Leiðsögumaður",Leiðsögn!C23,Ökuleiðsögn!C23)</f>
        <v>3239</v>
      </c>
      <c r="D8" s="1">
        <f>IF($B$3="Leiðsögumaður",Leiðsögn!D23,Ökuleiðsögn!D23)</f>
        <v>5466</v>
      </c>
      <c r="E8" s="1">
        <f>IF($B$3="Leiðsögumaður",Leiðsögn!E23,Ökuleiðsögn!E23)</f>
        <v>7237</v>
      </c>
      <c r="F8" s="1">
        <f>IF($B$3="Leiðsögumaður",Leiðsögn!F23,Ökuleiðsögn!F23)</f>
        <v>3346</v>
      </c>
    </row>
    <row r="9" spans="1:19" x14ac:dyDescent="0.25">
      <c r="A9" s="7" t="s">
        <v>24</v>
      </c>
      <c r="B9" s="1">
        <f>IF($B$3="Leiðsögumaður",Leiðsögn!B24,Ökuleiðsögn!B24)</f>
        <v>528767.19999999995</v>
      </c>
      <c r="C9" s="1">
        <f>IF($B$3="Leiðsögumaður",Leiðsögn!C24,Ökuleiðsögn!C24)</f>
        <v>3254</v>
      </c>
      <c r="D9" s="1">
        <f>IF($B$3="Leiðsögumaður",Leiðsögn!D24,Ökuleiðsögn!D24)</f>
        <v>5491</v>
      </c>
      <c r="E9" s="1">
        <f>IF($B$3="Leiðsögumaður",Leiðsögn!E24,Ökuleiðsögn!E24)</f>
        <v>7271</v>
      </c>
      <c r="F9" s="1">
        <f>IF($B$3="Leiðsögumaður",Leiðsögn!F24,Ökuleiðsögn!F24)</f>
        <v>3361</v>
      </c>
    </row>
    <row r="10" spans="1:19" x14ac:dyDescent="0.25">
      <c r="A10" s="7" t="s">
        <v>25</v>
      </c>
      <c r="B10" s="1">
        <f>IF($B$3="Leiðsögumaður",Leiðsögn!B25,Ökuleiðsögn!B25)</f>
        <v>529155.4</v>
      </c>
      <c r="C10" s="1">
        <f>IF($B$3="Leiðsögumaður",Leiðsögn!C25,Ökuleiðsögn!C25)</f>
        <v>3256</v>
      </c>
      <c r="D10" s="1">
        <f>IF($B$3="Leiðsögumaður",Leiðsögn!D25,Ökuleiðsögn!D25)</f>
        <v>5495</v>
      </c>
      <c r="E10" s="1">
        <f>IF($B$3="Leiðsögumaður",Leiðsögn!E25,Ökuleiðsögn!E25)</f>
        <v>7276</v>
      </c>
      <c r="F10" s="1">
        <f>IF($B$3="Leiðsögumaður",Leiðsögn!F25,Ökuleiðsögn!F25)</f>
        <v>3363</v>
      </c>
    </row>
    <row r="11" spans="1:19" x14ac:dyDescent="0.25">
      <c r="A11" s="7" t="s">
        <v>26</v>
      </c>
      <c r="B11" s="1">
        <f>IF($B$3="Leiðsögumaður",Leiðsögn!B26,Ökuleiðsögn!B26)</f>
        <v>540845.9</v>
      </c>
      <c r="C11" s="1">
        <f>IF($B$3="Leiðsögumaður",Leiðsögn!C26,Ökuleiðsögn!C26)</f>
        <v>3328</v>
      </c>
      <c r="D11" s="1">
        <f>IF($B$3="Leiðsögumaður",Leiðsögn!D26,Ökuleiðsögn!D26)</f>
        <v>5617</v>
      </c>
      <c r="E11" s="1">
        <f>IF($B$3="Leiðsögumaður",Leiðsögn!E26,Ökuleiðsögn!E26)</f>
        <v>7437</v>
      </c>
      <c r="F11" s="1">
        <f>IF($B$3="Leiðsögumaður",Leiðsögn!F26,Ökuleiðsögn!F26)</f>
        <v>3435</v>
      </c>
    </row>
    <row r="12" spans="1:19" x14ac:dyDescent="0.25">
      <c r="A12" s="7" t="s">
        <v>27</v>
      </c>
      <c r="B12" s="1">
        <f>IF($B$3="Leiðsögumaður",Leiðsögn!B27,Ökuleiðsögn!B27)</f>
        <v>556793.80000000005</v>
      </c>
      <c r="C12" s="1">
        <f>IF($B$3="Leiðsögumaður",Leiðsögn!C27,Ökuleiðsögn!C27)</f>
        <v>3426</v>
      </c>
      <c r="D12" s="1">
        <f>IF($B$3="Leiðsögumaður",Leiðsögn!D27,Ökuleiðsögn!D27)</f>
        <v>5782</v>
      </c>
      <c r="E12" s="1">
        <f>IF($B$3="Leiðsögumaður",Leiðsögn!E27,Ökuleiðsögn!E27)</f>
        <v>7656</v>
      </c>
      <c r="F12" s="1">
        <f>IF($B$3="Leiðsögumaður",Leiðsögn!F27,Ökuleiðsögn!F27)</f>
        <v>3533</v>
      </c>
    </row>
    <row r="13" spans="1:19" x14ac:dyDescent="0.25">
      <c r="A13" s="7" t="s">
        <v>28</v>
      </c>
      <c r="B13" s="1">
        <f>IF($B$3="Leiðsögumaður",Leiðsögn!B28,Ökuleiðsögn!B28)</f>
        <v>560438.80000000005</v>
      </c>
      <c r="C13" s="1">
        <f>IF($B$3="Leiðsögumaður",Leiðsögn!C28,Ökuleiðsögn!C28)</f>
        <v>3449</v>
      </c>
      <c r="D13" s="1">
        <f>IF($B$3="Leiðsögumaður",Leiðsögn!D28,Ökuleiðsögn!D28)</f>
        <v>5820</v>
      </c>
      <c r="E13" s="1">
        <f>IF($B$3="Leiðsögumaður",Leiðsögn!E28,Ökuleiðsögn!E28)</f>
        <v>7706</v>
      </c>
      <c r="F13" s="1">
        <f>IF($B$3="Leiðsögumaður",Leiðsögn!F28,Ökuleiðsögn!F28)</f>
        <v>3556</v>
      </c>
    </row>
    <row r="14" spans="1:19" x14ac:dyDescent="0.25">
      <c r="A14" s="7" t="s">
        <v>29</v>
      </c>
      <c r="B14" s="1">
        <f>IF($B$3="Leiðsögumaður",Leiðsögn!B29,Ökuleiðsögn!B29)</f>
        <v>533107.19999999995</v>
      </c>
      <c r="C14" s="1">
        <f>IF($B$3="Leiðsögumaður",Leiðsögn!C29,Ökuleiðsögn!C29)</f>
        <v>3281</v>
      </c>
      <c r="D14" s="1">
        <f>IF($B$3="Leiðsögumaður",Leiðsögn!D29,Ökuleiðsögn!D29)</f>
        <v>5536</v>
      </c>
      <c r="E14" s="1">
        <f>IF($B$3="Leiðsögumaður",Leiðsögn!E29,Ökuleiðsögn!E29)</f>
        <v>7330</v>
      </c>
      <c r="F14" s="1">
        <f>IF($B$3="Leiðsögumaður",Leiðsögn!F29,Ökuleiðsögn!F29)</f>
        <v>3388</v>
      </c>
    </row>
    <row r="15" spans="1:19" x14ac:dyDescent="0.25">
      <c r="A15" s="7" t="s">
        <v>30</v>
      </c>
      <c r="B15" s="1">
        <f>IF($B$3="Leiðsögumaður",Leiðsögn!B30,Ökuleiðsögn!B30)</f>
        <v>553969.5</v>
      </c>
      <c r="C15" s="1">
        <f>IF($B$3="Leiðsögumaður",Leiðsögn!C30,Ökuleiðsögn!C30)</f>
        <v>3409</v>
      </c>
      <c r="D15" s="1">
        <f>IF($B$3="Leiðsögumaður",Leiðsögn!D30,Ökuleiðsögn!D30)</f>
        <v>5753</v>
      </c>
      <c r="E15" s="1">
        <f>IF($B$3="Leiðsögumaður",Leiðsögn!E30,Ökuleiðsögn!E30)</f>
        <v>7617</v>
      </c>
      <c r="F15" s="1">
        <f>IF($B$3="Leiðsögumaður",Leiðsögn!F30,Ökuleiðsögn!F30)</f>
        <v>3516</v>
      </c>
    </row>
    <row r="16" spans="1:19" x14ac:dyDescent="0.25">
      <c r="A16" s="7" t="s">
        <v>31</v>
      </c>
      <c r="B16" s="1">
        <f>IF($B$3="Leiðsögumaður",Leiðsögn!B31,Ökuleiðsögn!B31)</f>
        <v>570363.1</v>
      </c>
      <c r="C16" s="1">
        <f>IF($B$3="Leiðsögumaður",Leiðsögn!C31,Ökuleiðsögn!C31)</f>
        <v>3510</v>
      </c>
      <c r="D16" s="1">
        <f>IF($B$3="Leiðsögumaður",Leiðsögn!D31,Ökuleiðsögn!D31)</f>
        <v>5923</v>
      </c>
      <c r="E16" s="1">
        <f>IF($B$3="Leiðsögumaður",Leiðsögn!E31,Ökuleiðsögn!E31)</f>
        <v>7842</v>
      </c>
      <c r="F16" s="1">
        <f>IF($B$3="Leiðsögumaður",Leiðsögn!F31,Ökuleiðsögn!F31)</f>
        <v>3617</v>
      </c>
    </row>
    <row r="17" spans="1:21" x14ac:dyDescent="0.25">
      <c r="A17" s="7" t="s">
        <v>32</v>
      </c>
      <c r="B17" s="1">
        <f>IF($B$3="Leiðsögumaður",Leiðsögn!B32,Ökuleiðsögn!B32)</f>
        <v>578124.19999999995</v>
      </c>
      <c r="C17" s="1">
        <f>IF($B$3="Leiðsögumaður",Leiðsögn!C32,Ökuleiðsögn!C32)</f>
        <v>3558</v>
      </c>
      <c r="D17" s="1">
        <f>IF($B$3="Leiðsögumaður",Leiðsögn!D32,Ökuleiðsögn!D32)</f>
        <v>6004</v>
      </c>
      <c r="E17" s="1">
        <f>IF($B$3="Leiðsögumaður",Leiðsögn!E32,Ökuleiðsögn!E32)</f>
        <v>7949</v>
      </c>
      <c r="F17" s="1">
        <f>IF($B$3="Leiðsögumaður",Leiðsögn!F32,Ökuleiðsögn!F32)</f>
        <v>3665</v>
      </c>
    </row>
    <row r="21" spans="1:21" x14ac:dyDescent="0.25">
      <c r="A21" s="7" t="s">
        <v>33</v>
      </c>
      <c r="B21" s="3" t="s">
        <v>34</v>
      </c>
      <c r="D21" s="3" t="s">
        <v>35</v>
      </c>
      <c r="E21" s="3" t="s">
        <v>36</v>
      </c>
      <c r="F21" s="3" t="s">
        <v>37</v>
      </c>
      <c r="G21" s="3" t="s">
        <v>37</v>
      </c>
      <c r="H21" s="3" t="s">
        <v>38</v>
      </c>
      <c r="I21" s="3" t="s">
        <v>38</v>
      </c>
      <c r="J21" s="3" t="s">
        <v>39</v>
      </c>
      <c r="K21" s="3" t="s">
        <v>39</v>
      </c>
      <c r="L21" s="3" t="s">
        <v>40</v>
      </c>
      <c r="M21" s="3" t="s">
        <v>40</v>
      </c>
      <c r="N21" s="3" t="s">
        <v>41</v>
      </c>
      <c r="O21" s="3" t="s">
        <v>41</v>
      </c>
      <c r="P21" s="3" t="s">
        <v>42</v>
      </c>
      <c r="Q21" s="3" t="s">
        <v>42</v>
      </c>
      <c r="R21" s="3" t="s">
        <v>43</v>
      </c>
      <c r="S21" s="3" t="s">
        <v>43</v>
      </c>
      <c r="T21" s="3" t="s">
        <v>44</v>
      </c>
      <c r="U21" s="3" t="s">
        <v>44</v>
      </c>
    </row>
    <row r="22" spans="1:21" x14ac:dyDescent="0.25">
      <c r="B22" s="3" t="s">
        <v>17</v>
      </c>
      <c r="C22" s="3" t="s">
        <v>18</v>
      </c>
      <c r="D22" s="3" t="s">
        <v>45</v>
      </c>
      <c r="E22" s="3" t="s">
        <v>46</v>
      </c>
      <c r="F22" s="3" t="s">
        <v>45</v>
      </c>
      <c r="G22" s="3" t="s">
        <v>46</v>
      </c>
      <c r="H22" s="3" t="s">
        <v>45</v>
      </c>
      <c r="I22" s="3" t="s">
        <v>46</v>
      </c>
      <c r="J22" s="3" t="s">
        <v>45</v>
      </c>
      <c r="K22" s="3" t="s">
        <v>46</v>
      </c>
      <c r="L22" s="3" t="s">
        <v>45</v>
      </c>
      <c r="M22" s="3" t="s">
        <v>46</v>
      </c>
      <c r="N22" s="3" t="s">
        <v>45</v>
      </c>
      <c r="O22" s="3" t="s">
        <v>46</v>
      </c>
      <c r="P22" s="3" t="s">
        <v>45</v>
      </c>
      <c r="Q22" s="3" t="s">
        <v>46</v>
      </c>
      <c r="R22" s="3" t="s">
        <v>45</v>
      </c>
      <c r="S22" s="3" t="s">
        <v>46</v>
      </c>
      <c r="T22" s="3" t="s">
        <v>45</v>
      </c>
      <c r="U22" s="3" t="s">
        <v>46</v>
      </c>
    </row>
    <row r="23" spans="1:21" x14ac:dyDescent="0.25">
      <c r="A23" s="4" t="s">
        <v>22</v>
      </c>
      <c r="B23" s="1">
        <f>IF($B$3="Leiðsögumaður",Leiðsögn!B38,Ökuleiðsögn!B38)</f>
        <v>3239</v>
      </c>
      <c r="C23" s="1">
        <f>IF($B$3="Leiðsögumaður",Leiðsögn!C38,Ökuleiðsögn!C38)</f>
        <v>5466</v>
      </c>
      <c r="D23" s="1">
        <f>IF($B$3="Leiðsögumaður",Leiðsögn!D38,Ökuleiðsögn!D38)</f>
        <v>12956</v>
      </c>
      <c r="E23" s="1">
        <f>IF($B$3="Leiðsögumaður",Leiðsögn!E38,Ökuleiðsögn!E38)</f>
        <v>21864</v>
      </c>
      <c r="F23" s="1">
        <f>IF($B$3="Leiðsögumaður",Leiðsögn!F38,Ökuleiðsögn!F38)</f>
        <v>16195</v>
      </c>
      <c r="G23" s="1">
        <f>IF($B$3="Leiðsögumaður",Leiðsögn!G38,Ökuleiðsögn!G38)</f>
        <v>27330</v>
      </c>
      <c r="H23" s="1">
        <f>IF($B$3="Leiðsögumaður",Leiðsögn!H38,Ökuleiðsögn!H38)</f>
        <v>19434</v>
      </c>
      <c r="I23" s="1">
        <f>IF($B$3="Leiðsögumaður",Leiðsögn!I38,Ökuleiðsögn!I38)</f>
        <v>32796</v>
      </c>
      <c r="J23" s="1">
        <f>IF($B$3="Leiðsögumaður",Leiðsögn!J38,Ökuleiðsögn!J38)</f>
        <v>22673</v>
      </c>
      <c r="K23" s="1">
        <f>IF($B$3="Leiðsögumaður",Leiðsögn!K38,Ökuleiðsögn!K38)</f>
        <v>38262</v>
      </c>
      <c r="L23" s="1">
        <f>IF($B$3="Leiðsögumaður",Leiðsögn!L38,Ökuleiðsögn!L38)</f>
        <v>27025.5</v>
      </c>
      <c r="M23" s="1">
        <f>IF($B$3="Leiðsögumaður",Leiðsögn!M38,Ökuleiðsögn!M38)</f>
        <v>43728</v>
      </c>
      <c r="N23" s="1">
        <f>IF($B$3="Leiðsögumaður",Leiðsögn!N38,Ökuleiðsögn!N38)</f>
        <v>32491.5</v>
      </c>
      <c r="O23" s="1">
        <f>IF($B$3="Leiðsögumaður",Leiðsögn!O38,Ökuleiðsögn!O38)</f>
        <v>49194</v>
      </c>
      <c r="P23" s="1">
        <f>IF($B$3="Leiðsögumaður",Leiðsögn!P38,Ökuleiðsögn!P38)</f>
        <v>37957.5</v>
      </c>
      <c r="Q23" s="1">
        <f>IF($B$3="Leiðsögumaður",Leiðsögn!Q38,Ökuleiðsögn!Q38)</f>
        <v>54660</v>
      </c>
      <c r="R23" s="1">
        <f>IF($B$3="Leiðsögumaður",Leiðsögn!R38,Ökuleiðsögn!R38)</f>
        <v>43423.5</v>
      </c>
      <c r="S23" s="1">
        <f>IF($B$3="Leiðsögumaður",Leiðsögn!S38,Ökuleiðsögn!S38)</f>
        <v>60126</v>
      </c>
    </row>
    <row r="24" spans="1:21" x14ac:dyDescent="0.25">
      <c r="A24" s="4" t="s">
        <v>23</v>
      </c>
      <c r="B24" s="1">
        <f>IF($B$3="Leiðsögumaður",Leiðsögn!B39,Ökuleiðsögn!B39)</f>
        <v>3239</v>
      </c>
      <c r="C24" s="1">
        <f>IF($B$3="Leiðsögumaður",Leiðsögn!C39,Ökuleiðsögn!C39)</f>
        <v>5466</v>
      </c>
      <c r="D24" s="1">
        <f>IF($B$3="Leiðsögumaður",Leiðsögn!D39,Ökuleiðsögn!D39)</f>
        <v>12956</v>
      </c>
      <c r="E24" s="1">
        <f>IF($B$3="Leiðsögumaður",Leiðsögn!E39,Ökuleiðsögn!E39)</f>
        <v>21864</v>
      </c>
      <c r="F24" s="1">
        <f>IF($B$3="Leiðsögumaður",Leiðsögn!F39,Ökuleiðsögn!F39)</f>
        <v>16195</v>
      </c>
      <c r="G24" s="1">
        <f>IF($B$3="Leiðsögumaður",Leiðsögn!G39,Ökuleiðsögn!G39)</f>
        <v>27330</v>
      </c>
      <c r="H24" s="1">
        <f>IF($B$3="Leiðsögumaður",Leiðsögn!H39,Ökuleiðsögn!H39)</f>
        <v>19434</v>
      </c>
      <c r="I24" s="1">
        <f>IF($B$3="Leiðsögumaður",Leiðsögn!I39,Ökuleiðsögn!I39)</f>
        <v>32796</v>
      </c>
      <c r="J24" s="1">
        <f>IF($B$3="Leiðsögumaður",Leiðsögn!J39,Ökuleiðsögn!J39)</f>
        <v>22673</v>
      </c>
      <c r="K24" s="1">
        <f>IF($B$3="Leiðsögumaður",Leiðsögn!K39,Ökuleiðsögn!K39)</f>
        <v>38262</v>
      </c>
      <c r="L24" s="1">
        <f>IF($B$3="Leiðsögumaður",Leiðsögn!L39,Ökuleiðsögn!L39)</f>
        <v>27025.5</v>
      </c>
      <c r="M24" s="1">
        <f>IF($B$3="Leiðsögumaður",Leiðsögn!M39,Ökuleiðsögn!M39)</f>
        <v>43728</v>
      </c>
      <c r="N24" s="1">
        <f>IF($B$3="Leiðsögumaður",Leiðsögn!N39,Ökuleiðsögn!N39)</f>
        <v>32491.5</v>
      </c>
      <c r="O24" s="1">
        <f>IF($B$3="Leiðsögumaður",Leiðsögn!O39,Ökuleiðsögn!O39)</f>
        <v>49194</v>
      </c>
      <c r="P24" s="1">
        <f>IF($B$3="Leiðsögumaður",Leiðsögn!P39,Ökuleiðsögn!P39)</f>
        <v>37957.5</v>
      </c>
      <c r="Q24" s="1">
        <f>IF($B$3="Leiðsögumaður",Leiðsögn!Q39,Ökuleiðsögn!Q39)</f>
        <v>54660</v>
      </c>
      <c r="R24" s="1">
        <f>IF($B$3="Leiðsögumaður",Leiðsögn!R39,Ökuleiðsögn!R39)</f>
        <v>43423.5</v>
      </c>
      <c r="S24" s="1">
        <f>IF($B$3="Leiðsögumaður",Leiðsögn!S39,Ökuleiðsögn!S39)</f>
        <v>60126</v>
      </c>
    </row>
    <row r="25" spans="1:21" x14ac:dyDescent="0.25">
      <c r="A25" s="4" t="s">
        <v>24</v>
      </c>
      <c r="B25" s="1">
        <f>IF($B$3="Leiðsögumaður",Leiðsögn!B40,Ökuleiðsögn!B40)</f>
        <v>3254</v>
      </c>
      <c r="C25" s="1">
        <f>IF($B$3="Leiðsögumaður",Leiðsögn!C40,Ökuleiðsögn!C40)</f>
        <v>5491</v>
      </c>
      <c r="D25" s="1">
        <f>IF($B$3="Leiðsögumaður",Leiðsögn!D40,Ökuleiðsögn!D40)</f>
        <v>13016</v>
      </c>
      <c r="E25" s="1">
        <f>IF($B$3="Leiðsögumaður",Leiðsögn!E40,Ökuleiðsögn!E40)</f>
        <v>21964</v>
      </c>
      <c r="F25" s="1">
        <f>IF($B$3="Leiðsögumaður",Leiðsögn!F40,Ökuleiðsögn!F40)</f>
        <v>16270</v>
      </c>
      <c r="G25" s="1">
        <f>IF($B$3="Leiðsögumaður",Leiðsögn!G40,Ökuleiðsögn!G40)</f>
        <v>27455</v>
      </c>
      <c r="H25" s="1">
        <f>IF($B$3="Leiðsögumaður",Leiðsögn!H40,Ökuleiðsögn!H40)</f>
        <v>19524</v>
      </c>
      <c r="I25" s="1">
        <f>IF($B$3="Leiðsögumaður",Leiðsögn!I40,Ökuleiðsögn!I40)</f>
        <v>32946</v>
      </c>
      <c r="J25" s="1">
        <f>IF($B$3="Leiðsögumaður",Leiðsögn!J40,Ökuleiðsögn!J40)</f>
        <v>22778</v>
      </c>
      <c r="K25" s="1">
        <f>IF($B$3="Leiðsögumaður",Leiðsögn!K40,Ökuleiðsögn!K40)</f>
        <v>38437</v>
      </c>
      <c r="L25" s="1">
        <f>IF($B$3="Leiðsögumaður",Leiðsögn!L40,Ökuleiðsögn!L40)</f>
        <v>27150.5</v>
      </c>
      <c r="M25" s="1">
        <f>IF($B$3="Leiðsögumaður",Leiðsögn!M40,Ökuleiðsögn!M40)</f>
        <v>43928</v>
      </c>
      <c r="N25" s="1">
        <f>IF($B$3="Leiðsögumaður",Leiðsögn!N40,Ökuleiðsögn!N40)</f>
        <v>32641.5</v>
      </c>
      <c r="O25" s="1">
        <f>IF($B$3="Leiðsögumaður",Leiðsögn!O40,Ökuleiðsögn!O40)</f>
        <v>49419</v>
      </c>
      <c r="P25" s="1">
        <f>IF($B$3="Leiðsögumaður",Leiðsögn!P40,Ökuleiðsögn!P40)</f>
        <v>38132.5</v>
      </c>
      <c r="Q25" s="1">
        <f>IF($B$3="Leiðsögumaður",Leiðsögn!Q40,Ökuleiðsögn!Q40)</f>
        <v>54910</v>
      </c>
      <c r="R25" s="1">
        <f>IF($B$3="Leiðsögumaður",Leiðsögn!R40,Ökuleiðsögn!R40)</f>
        <v>43623.5</v>
      </c>
      <c r="S25" s="1">
        <f>IF($B$3="Leiðsögumaður",Leiðsögn!S40,Ökuleiðsögn!S40)</f>
        <v>60401</v>
      </c>
    </row>
    <row r="26" spans="1:21" x14ac:dyDescent="0.25">
      <c r="A26" s="4" t="s">
        <v>25</v>
      </c>
      <c r="B26" s="1">
        <f>IF($B$3="Leiðsögumaður",Leiðsögn!B41,Ökuleiðsögn!B41)</f>
        <v>3256</v>
      </c>
      <c r="C26" s="1">
        <f>IF($B$3="Leiðsögumaður",Leiðsögn!C41,Ökuleiðsögn!C41)</f>
        <v>5495</v>
      </c>
      <c r="D26" s="1">
        <f>IF($B$3="Leiðsögumaður",Leiðsögn!D41,Ökuleiðsögn!D41)</f>
        <v>13024</v>
      </c>
      <c r="E26" s="1">
        <f>IF($B$3="Leiðsögumaður",Leiðsögn!E41,Ökuleiðsögn!E41)</f>
        <v>21980</v>
      </c>
      <c r="F26" s="1">
        <f>IF($B$3="Leiðsögumaður",Leiðsögn!F41,Ökuleiðsögn!F41)</f>
        <v>16280</v>
      </c>
      <c r="G26" s="1">
        <f>IF($B$3="Leiðsögumaður",Leiðsögn!G41,Ökuleiðsögn!G41)</f>
        <v>27475</v>
      </c>
      <c r="H26" s="1">
        <f>IF($B$3="Leiðsögumaður",Leiðsögn!H41,Ökuleiðsögn!H41)</f>
        <v>19536</v>
      </c>
      <c r="I26" s="1">
        <f>IF($B$3="Leiðsögumaður",Leiðsögn!I41,Ökuleiðsögn!I41)</f>
        <v>32970</v>
      </c>
      <c r="J26" s="1">
        <f>IF($B$3="Leiðsögumaður",Leiðsögn!J41,Ökuleiðsögn!J41)</f>
        <v>22792</v>
      </c>
      <c r="K26" s="1">
        <f>IF($B$3="Leiðsögumaður",Leiðsögn!K41,Ökuleiðsögn!K41)</f>
        <v>38465</v>
      </c>
      <c r="L26" s="1">
        <f>IF($B$3="Leiðsögumaður",Leiðsögn!L41,Ökuleiðsögn!L41)</f>
        <v>27167.5</v>
      </c>
      <c r="M26" s="1">
        <f>IF($B$3="Leiðsögumaður",Leiðsögn!M41,Ökuleiðsögn!M41)</f>
        <v>43960</v>
      </c>
      <c r="N26" s="1">
        <f>IF($B$3="Leiðsögumaður",Leiðsögn!N41,Ökuleiðsögn!N41)</f>
        <v>32662.5</v>
      </c>
      <c r="O26" s="1">
        <f>IF($B$3="Leiðsögumaður",Leiðsögn!O41,Ökuleiðsögn!O41)</f>
        <v>49455</v>
      </c>
      <c r="P26" s="1">
        <f>IF($B$3="Leiðsögumaður",Leiðsögn!P41,Ökuleiðsögn!P41)</f>
        <v>38157.5</v>
      </c>
      <c r="Q26" s="1">
        <f>IF($B$3="Leiðsögumaður",Leiðsögn!Q41,Ökuleiðsögn!Q41)</f>
        <v>54950</v>
      </c>
      <c r="R26" s="1">
        <f>IF($B$3="Leiðsögumaður",Leiðsögn!R41,Ökuleiðsögn!R41)</f>
        <v>43652.5</v>
      </c>
      <c r="S26" s="1">
        <f>IF($B$3="Leiðsögumaður",Leiðsögn!S41,Ökuleiðsögn!S41)</f>
        <v>60445</v>
      </c>
    </row>
    <row r="27" spans="1:21" x14ac:dyDescent="0.25">
      <c r="A27" s="4" t="s">
        <v>26</v>
      </c>
      <c r="B27" s="1">
        <f>IF($B$3="Leiðsögumaður",Leiðsögn!B42,Ökuleiðsögn!B42)</f>
        <v>3328</v>
      </c>
      <c r="C27" s="1">
        <f>IF($B$3="Leiðsögumaður",Leiðsögn!C42,Ökuleiðsögn!C42)</f>
        <v>5617</v>
      </c>
      <c r="D27" s="1">
        <f>IF($B$3="Leiðsögumaður",Leiðsögn!D42,Ökuleiðsögn!D42)</f>
        <v>13312</v>
      </c>
      <c r="E27" s="1">
        <f>IF($B$3="Leiðsögumaður",Leiðsögn!E42,Ökuleiðsögn!E42)</f>
        <v>22468</v>
      </c>
      <c r="F27" s="1">
        <f>IF($B$3="Leiðsögumaður",Leiðsögn!F42,Ökuleiðsögn!F42)</f>
        <v>16640</v>
      </c>
      <c r="G27" s="1">
        <f>IF($B$3="Leiðsögumaður",Leiðsögn!G42,Ökuleiðsögn!G42)</f>
        <v>28085</v>
      </c>
      <c r="H27" s="1">
        <f>IF($B$3="Leiðsögumaður",Leiðsögn!H42,Ökuleiðsögn!H42)</f>
        <v>19968</v>
      </c>
      <c r="I27" s="1">
        <f>IF($B$3="Leiðsögumaður",Leiðsögn!I42,Ökuleiðsögn!I42)</f>
        <v>33702</v>
      </c>
      <c r="J27" s="1">
        <f>IF($B$3="Leiðsögumaður",Leiðsögn!J42,Ökuleiðsögn!J42)</f>
        <v>23296</v>
      </c>
      <c r="K27" s="1">
        <f>IF($B$3="Leiðsögumaður",Leiðsögn!K42,Ökuleiðsögn!K42)</f>
        <v>39319</v>
      </c>
      <c r="L27" s="1">
        <f>IF($B$3="Leiðsögumaður",Leiðsögn!L42,Ökuleiðsögn!L42)</f>
        <v>27768.5</v>
      </c>
      <c r="M27" s="1">
        <f>IF($B$3="Leiðsögumaður",Leiðsögn!M42,Ökuleiðsögn!M42)</f>
        <v>44936</v>
      </c>
      <c r="N27" s="1">
        <f>IF($B$3="Leiðsögumaður",Leiðsögn!N42,Ökuleiðsögn!N42)</f>
        <v>33385.5</v>
      </c>
      <c r="O27" s="1">
        <f>IF($B$3="Leiðsögumaður",Leiðsögn!O42,Ökuleiðsögn!O42)</f>
        <v>50553</v>
      </c>
      <c r="P27" s="1">
        <f>IF($B$3="Leiðsögumaður",Leiðsögn!P42,Ökuleiðsögn!P42)</f>
        <v>39002.5</v>
      </c>
      <c r="Q27" s="1">
        <f>IF($B$3="Leiðsögumaður",Leiðsögn!Q42,Ökuleiðsögn!Q42)</f>
        <v>56170</v>
      </c>
      <c r="R27" s="1">
        <f>IF($B$3="Leiðsögumaður",Leiðsögn!R42,Ökuleiðsögn!R42)</f>
        <v>44619.5</v>
      </c>
      <c r="S27" s="1">
        <f>IF($B$3="Leiðsögumaður",Leiðsögn!S42,Ökuleiðsögn!S42)</f>
        <v>61787</v>
      </c>
    </row>
    <row r="28" spans="1:21" x14ac:dyDescent="0.25">
      <c r="A28" s="4" t="s">
        <v>27</v>
      </c>
      <c r="B28" s="1">
        <f>IF($B$3="Leiðsögumaður",Leiðsögn!B43,Ökuleiðsögn!B43)</f>
        <v>3426</v>
      </c>
      <c r="C28" s="1">
        <f>IF($B$3="Leiðsögumaður",Leiðsögn!C43,Ökuleiðsögn!C43)</f>
        <v>5782</v>
      </c>
      <c r="D28" s="1">
        <f>IF($B$3="Leiðsögumaður",Leiðsögn!D43,Ökuleiðsögn!D43)</f>
        <v>13704</v>
      </c>
      <c r="E28" s="1">
        <f>IF($B$3="Leiðsögumaður",Leiðsögn!E43,Ökuleiðsögn!E43)</f>
        <v>23128</v>
      </c>
      <c r="F28" s="1">
        <f>IF($B$3="Leiðsögumaður",Leiðsögn!F43,Ökuleiðsögn!F43)</f>
        <v>17130</v>
      </c>
      <c r="G28" s="1">
        <f>IF($B$3="Leiðsögumaður",Leiðsögn!G43,Ökuleiðsögn!G43)</f>
        <v>28910</v>
      </c>
      <c r="H28" s="1">
        <f>IF($B$3="Leiðsögumaður",Leiðsögn!H43,Ökuleiðsögn!H43)</f>
        <v>20556</v>
      </c>
      <c r="I28" s="1">
        <f>IF($B$3="Leiðsögumaður",Leiðsögn!I43,Ökuleiðsögn!I43)</f>
        <v>34692</v>
      </c>
      <c r="J28" s="1">
        <f>IF($B$3="Leiðsögumaður",Leiðsögn!J43,Ökuleiðsögn!J43)</f>
        <v>23982</v>
      </c>
      <c r="K28" s="1">
        <f>IF($B$3="Leiðsögumaður",Leiðsögn!K43,Ökuleiðsögn!K43)</f>
        <v>40474</v>
      </c>
      <c r="L28" s="1">
        <f>IF($B$3="Leiðsögumaður",Leiðsögn!L43,Ökuleiðsögn!L43)</f>
        <v>28586</v>
      </c>
      <c r="M28" s="1">
        <f>IF($B$3="Leiðsögumaður",Leiðsögn!M43,Ökuleiðsögn!M43)</f>
        <v>46256</v>
      </c>
      <c r="N28" s="1">
        <f>IF($B$3="Leiðsögumaður",Leiðsögn!N43,Ökuleiðsögn!N43)</f>
        <v>34368</v>
      </c>
      <c r="O28" s="1">
        <f>IF($B$3="Leiðsögumaður",Leiðsögn!O43,Ökuleiðsögn!O43)</f>
        <v>52038</v>
      </c>
      <c r="P28" s="1">
        <f>IF($B$3="Leiðsögumaður",Leiðsögn!P43,Ökuleiðsögn!P43)</f>
        <v>40150</v>
      </c>
      <c r="Q28" s="1">
        <f>IF($B$3="Leiðsögumaður",Leiðsögn!Q43,Ökuleiðsögn!Q43)</f>
        <v>57820</v>
      </c>
      <c r="R28" s="1">
        <f>IF($B$3="Leiðsögumaður",Leiðsögn!R43,Ökuleiðsögn!R43)</f>
        <v>45932</v>
      </c>
      <c r="S28" s="1">
        <f>IF($B$3="Leiðsögumaður",Leiðsögn!S43,Ökuleiðsögn!S43)</f>
        <v>63602</v>
      </c>
    </row>
    <row r="29" spans="1:21" x14ac:dyDescent="0.25">
      <c r="A29" s="4" t="s">
        <v>28</v>
      </c>
      <c r="B29" s="1">
        <f>IF($B$3="Leiðsögumaður",Leiðsögn!B44,Ökuleiðsögn!B44)</f>
        <v>3449</v>
      </c>
      <c r="C29" s="1">
        <f>IF($B$3="Leiðsögumaður",Leiðsögn!C44,Ökuleiðsögn!C44)</f>
        <v>5820</v>
      </c>
      <c r="D29" s="1">
        <f>IF($B$3="Leiðsögumaður",Leiðsögn!D44,Ökuleiðsögn!D44)</f>
        <v>13796</v>
      </c>
      <c r="E29" s="1">
        <f>IF($B$3="Leiðsögumaður",Leiðsögn!E44,Ökuleiðsögn!E44)</f>
        <v>23280</v>
      </c>
      <c r="F29" s="1">
        <f>IF($B$3="Leiðsögumaður",Leiðsögn!F44,Ökuleiðsögn!F44)</f>
        <v>17245</v>
      </c>
      <c r="G29" s="1">
        <f>IF($B$3="Leiðsögumaður",Leiðsögn!G44,Ökuleiðsögn!G44)</f>
        <v>29100</v>
      </c>
      <c r="H29" s="1">
        <f>IF($B$3="Leiðsögumaður",Leiðsögn!H44,Ökuleiðsögn!H44)</f>
        <v>20694</v>
      </c>
      <c r="I29" s="1">
        <f>IF($B$3="Leiðsögumaður",Leiðsögn!I44,Ökuleiðsögn!I44)</f>
        <v>34920</v>
      </c>
      <c r="J29" s="1">
        <f>IF($B$3="Leiðsögumaður",Leiðsögn!J44,Ökuleiðsögn!J44)</f>
        <v>24143</v>
      </c>
      <c r="K29" s="1">
        <f>IF($B$3="Leiðsögumaður",Leiðsögn!K44,Ökuleiðsögn!K44)</f>
        <v>40740</v>
      </c>
      <c r="L29" s="1">
        <f>IF($B$3="Leiðsögumaður",Leiðsögn!L44,Ökuleiðsögn!L44)</f>
        <v>28777.5</v>
      </c>
      <c r="M29" s="1">
        <f>IF($B$3="Leiðsögumaður",Leiðsögn!M44,Ökuleiðsögn!M44)</f>
        <v>46560</v>
      </c>
      <c r="N29" s="1">
        <f>IF($B$3="Leiðsögumaður",Leiðsögn!N44,Ökuleiðsögn!N44)</f>
        <v>34597.5</v>
      </c>
      <c r="O29" s="1">
        <f>IF($B$3="Leiðsögumaður",Leiðsögn!O44,Ökuleiðsögn!O44)</f>
        <v>52380</v>
      </c>
      <c r="P29" s="1">
        <f>IF($B$3="Leiðsögumaður",Leiðsögn!P44,Ökuleiðsögn!P44)</f>
        <v>40417.5</v>
      </c>
      <c r="Q29" s="1">
        <f>IF($B$3="Leiðsögumaður",Leiðsögn!Q44,Ökuleiðsögn!Q44)</f>
        <v>58200</v>
      </c>
      <c r="R29" s="1">
        <f>IF($B$3="Leiðsögumaður",Leiðsögn!R44,Ökuleiðsögn!R44)</f>
        <v>46237.5</v>
      </c>
      <c r="S29" s="1">
        <f>IF($B$3="Leiðsögumaður",Leiðsögn!S44,Ökuleiðsögn!S44)</f>
        <v>64020</v>
      </c>
    </row>
    <row r="30" spans="1:21" x14ac:dyDescent="0.25">
      <c r="A30" s="4" t="s">
        <v>29</v>
      </c>
      <c r="B30" s="1">
        <f>IF($B$3="Leiðsögumaður",Leiðsögn!B45,Ökuleiðsögn!B45)</f>
        <v>3281</v>
      </c>
      <c r="C30" s="1">
        <f>IF($B$3="Leiðsögumaður",Leiðsögn!C45,Ökuleiðsögn!C45)</f>
        <v>5536</v>
      </c>
      <c r="D30" s="1">
        <f>IF($B$3="Leiðsögumaður",Leiðsögn!D45,Ökuleiðsögn!D45)</f>
        <v>13124</v>
      </c>
      <c r="E30" s="1">
        <f>IF($B$3="Leiðsögumaður",Leiðsögn!E45,Ökuleiðsögn!E45)</f>
        <v>22144</v>
      </c>
      <c r="F30" s="1">
        <f>IF($B$3="Leiðsögumaður",Leiðsögn!F45,Ökuleiðsögn!F45)</f>
        <v>16405</v>
      </c>
      <c r="G30" s="1">
        <f>IF($B$3="Leiðsögumaður",Leiðsögn!G45,Ökuleiðsögn!G45)</f>
        <v>27680</v>
      </c>
      <c r="H30" s="1">
        <f>IF($B$3="Leiðsögumaður",Leiðsögn!H45,Ökuleiðsögn!H45)</f>
        <v>19686</v>
      </c>
      <c r="I30" s="1">
        <f>IF($B$3="Leiðsögumaður",Leiðsögn!I45,Ökuleiðsögn!I45)</f>
        <v>33216</v>
      </c>
      <c r="J30" s="1">
        <f>IF($B$3="Leiðsögumaður",Leiðsögn!J45,Ökuleiðsögn!J45)</f>
        <v>22967</v>
      </c>
      <c r="K30" s="1">
        <f>IF($B$3="Leiðsögumaður",Leiðsögn!K45,Ökuleiðsögn!K45)</f>
        <v>38752</v>
      </c>
      <c r="L30" s="1">
        <f>IF($B$3="Leiðsögumaður",Leiðsögn!L45,Ökuleiðsögn!L45)</f>
        <v>27375.5</v>
      </c>
      <c r="M30" s="1">
        <f>IF($B$3="Leiðsögumaður",Leiðsögn!M45,Ökuleiðsögn!M45)</f>
        <v>44288</v>
      </c>
      <c r="N30" s="1">
        <f>IF($B$3="Leiðsögumaður",Leiðsögn!N45,Ökuleiðsögn!N45)</f>
        <v>32911.5</v>
      </c>
      <c r="O30" s="1">
        <f>IF($B$3="Leiðsögumaður",Leiðsögn!O45,Ökuleiðsögn!O45)</f>
        <v>49824</v>
      </c>
      <c r="P30" s="1">
        <f>IF($B$3="Leiðsögumaður",Leiðsögn!P45,Ökuleiðsögn!P45)</f>
        <v>38447.5</v>
      </c>
      <c r="Q30" s="1">
        <f>IF($B$3="Leiðsögumaður",Leiðsögn!Q45,Ökuleiðsögn!Q45)</f>
        <v>55360</v>
      </c>
      <c r="R30" s="1">
        <f>IF($B$3="Leiðsögumaður",Leiðsögn!R45,Ökuleiðsögn!R45)</f>
        <v>43983.5</v>
      </c>
      <c r="S30" s="1">
        <f>IF($B$3="Leiðsögumaður",Leiðsögn!S45,Ökuleiðsögn!S45)</f>
        <v>60896</v>
      </c>
    </row>
    <row r="31" spans="1:21" x14ac:dyDescent="0.25">
      <c r="A31" s="4" t="s">
        <v>30</v>
      </c>
      <c r="B31" s="1">
        <f>IF($B$3="Leiðsögumaður",Leiðsögn!B46,Ökuleiðsögn!B46)</f>
        <v>3409</v>
      </c>
      <c r="C31" s="1">
        <f>IF($B$3="Leiðsögumaður",Leiðsögn!C46,Ökuleiðsögn!C46)</f>
        <v>5753</v>
      </c>
      <c r="D31" s="1">
        <f>IF($B$3="Leiðsögumaður",Leiðsögn!D46,Ökuleiðsögn!D46)</f>
        <v>13636</v>
      </c>
      <c r="E31" s="1">
        <f>IF($B$3="Leiðsögumaður",Leiðsögn!E46,Ökuleiðsögn!E46)</f>
        <v>23012</v>
      </c>
      <c r="F31" s="1">
        <f>IF($B$3="Leiðsögumaður",Leiðsögn!F46,Ökuleiðsögn!F46)</f>
        <v>17045</v>
      </c>
      <c r="G31" s="1">
        <f>IF($B$3="Leiðsögumaður",Leiðsögn!G46,Ökuleiðsögn!G46)</f>
        <v>28765</v>
      </c>
      <c r="H31" s="1">
        <f>IF($B$3="Leiðsögumaður",Leiðsögn!H46,Ökuleiðsögn!H46)</f>
        <v>20454</v>
      </c>
      <c r="I31" s="1">
        <f>IF($B$3="Leiðsögumaður",Leiðsögn!I46,Ökuleiðsögn!I46)</f>
        <v>34518</v>
      </c>
      <c r="J31" s="1">
        <f>IF($B$3="Leiðsögumaður",Leiðsögn!J46,Ökuleiðsögn!J46)</f>
        <v>23863</v>
      </c>
      <c r="K31" s="1">
        <f>IF($B$3="Leiðsögumaður",Leiðsögn!K46,Ökuleiðsögn!K46)</f>
        <v>40271</v>
      </c>
      <c r="L31" s="1">
        <f>IF($B$3="Leiðsögumaður",Leiðsögn!L46,Ökuleiðsögn!L46)</f>
        <v>28444</v>
      </c>
      <c r="M31" s="1">
        <f>IF($B$3="Leiðsögumaður",Leiðsögn!M46,Ökuleiðsögn!M46)</f>
        <v>46024</v>
      </c>
      <c r="N31" s="1">
        <f>IF($B$3="Leiðsögumaður",Leiðsögn!N46,Ökuleiðsögn!N46)</f>
        <v>34197</v>
      </c>
      <c r="O31" s="1">
        <f>IF($B$3="Leiðsögumaður",Leiðsögn!O46,Ökuleiðsögn!O46)</f>
        <v>51777</v>
      </c>
      <c r="P31" s="1">
        <f>IF($B$3="Leiðsögumaður",Leiðsögn!P46,Ökuleiðsögn!P46)</f>
        <v>39950</v>
      </c>
      <c r="Q31" s="1">
        <f>IF($B$3="Leiðsögumaður",Leiðsögn!Q46,Ökuleiðsögn!Q46)</f>
        <v>57530</v>
      </c>
      <c r="R31" s="1">
        <f>IF($B$3="Leiðsögumaður",Leiðsögn!R46,Ökuleiðsögn!R46)</f>
        <v>45703</v>
      </c>
      <c r="S31" s="1">
        <f>IF($B$3="Leiðsögumaður",Leiðsögn!S46,Ökuleiðsögn!S46)</f>
        <v>63283</v>
      </c>
    </row>
    <row r="32" spans="1:21" x14ac:dyDescent="0.25">
      <c r="A32" s="4" t="s">
        <v>31</v>
      </c>
      <c r="B32" s="1">
        <f>IF($B$3="Leiðsögumaður",Leiðsögn!B47,Ökuleiðsögn!B47)</f>
        <v>3510</v>
      </c>
      <c r="C32" s="1">
        <f>IF($B$3="Leiðsögumaður",Leiðsögn!C47,Ökuleiðsögn!C47)</f>
        <v>5923</v>
      </c>
      <c r="D32" s="1">
        <f>IF($B$3="Leiðsögumaður",Leiðsögn!D47,Ökuleiðsögn!D47)</f>
        <v>14040</v>
      </c>
      <c r="E32" s="1">
        <f>IF($B$3="Leiðsögumaður",Leiðsögn!E47,Ökuleiðsögn!E47)</f>
        <v>23692</v>
      </c>
      <c r="F32" s="1">
        <f>IF($B$3="Leiðsögumaður",Leiðsögn!F47,Ökuleiðsögn!F47)</f>
        <v>17550</v>
      </c>
      <c r="G32" s="1">
        <f>IF($B$3="Leiðsögumaður",Leiðsögn!G47,Ökuleiðsögn!G47)</f>
        <v>29615</v>
      </c>
      <c r="H32" s="1">
        <f>IF($B$3="Leiðsögumaður",Leiðsögn!H47,Ökuleiðsögn!H47)</f>
        <v>21060</v>
      </c>
      <c r="I32" s="1">
        <f>IF($B$3="Leiðsögumaður",Leiðsögn!I47,Ökuleiðsögn!I47)</f>
        <v>35538</v>
      </c>
      <c r="J32" s="1">
        <f>IF($B$3="Leiðsögumaður",Leiðsögn!J47,Ökuleiðsögn!J47)</f>
        <v>24570</v>
      </c>
      <c r="K32" s="1">
        <f>IF($B$3="Leiðsögumaður",Leiðsögn!K47,Ökuleiðsögn!K47)</f>
        <v>41461</v>
      </c>
      <c r="L32" s="1">
        <f>IF($B$3="Leiðsögumaður",Leiðsögn!L47,Ökuleiðsögn!L47)</f>
        <v>29286.5</v>
      </c>
      <c r="M32" s="1">
        <f>IF($B$3="Leiðsögumaður",Leiðsögn!M47,Ökuleiðsögn!M47)</f>
        <v>47384</v>
      </c>
      <c r="N32" s="1">
        <f>IF($B$3="Leiðsögumaður",Leiðsögn!N47,Ökuleiðsögn!N47)</f>
        <v>35209.5</v>
      </c>
      <c r="O32" s="1">
        <f>IF($B$3="Leiðsögumaður",Leiðsögn!O47,Ökuleiðsögn!O47)</f>
        <v>53307</v>
      </c>
      <c r="P32" s="1">
        <f>IF($B$3="Leiðsögumaður",Leiðsögn!P47,Ökuleiðsögn!P47)</f>
        <v>41132.5</v>
      </c>
      <c r="Q32" s="1">
        <f>IF($B$3="Leiðsögumaður",Leiðsögn!Q47,Ökuleiðsögn!Q47)</f>
        <v>59230</v>
      </c>
      <c r="R32" s="1">
        <f>IF($B$3="Leiðsögumaður",Leiðsögn!R47,Ökuleiðsögn!R47)</f>
        <v>47055.5</v>
      </c>
      <c r="S32" s="1">
        <f>IF($B$3="Leiðsögumaður",Leiðsögn!S47,Ökuleiðsögn!S47)</f>
        <v>65153</v>
      </c>
    </row>
    <row r="33" spans="1:19" x14ac:dyDescent="0.25">
      <c r="A33" s="4" t="s">
        <v>32</v>
      </c>
      <c r="B33" s="1">
        <f>IF($B$3="Leiðsögumaður",Leiðsögn!B48,Ökuleiðsögn!B48)</f>
        <v>3558</v>
      </c>
      <c r="C33" s="1">
        <f>IF($B$3="Leiðsögumaður",Leiðsögn!C48,Ökuleiðsögn!C48)</f>
        <v>6004</v>
      </c>
      <c r="D33" s="1">
        <f>IF($B$3="Leiðsögumaður",Leiðsögn!D48,Ökuleiðsögn!D48)</f>
        <v>14232</v>
      </c>
      <c r="E33" s="1">
        <f>IF($B$3="Leiðsögumaður",Leiðsögn!E48,Ökuleiðsögn!E48)</f>
        <v>24016</v>
      </c>
      <c r="F33" s="1">
        <f>IF($B$3="Leiðsögumaður",Leiðsögn!F48,Ökuleiðsögn!F48)</f>
        <v>17790</v>
      </c>
      <c r="G33" s="1">
        <f>IF($B$3="Leiðsögumaður",Leiðsögn!G48,Ökuleiðsögn!G48)</f>
        <v>30020</v>
      </c>
      <c r="H33" s="1">
        <f>IF($B$3="Leiðsögumaður",Leiðsögn!H48,Ökuleiðsögn!H48)</f>
        <v>21348</v>
      </c>
      <c r="I33" s="1">
        <f>IF($B$3="Leiðsögumaður",Leiðsögn!I48,Ökuleiðsögn!I48)</f>
        <v>36024</v>
      </c>
      <c r="J33" s="1">
        <f>IF($B$3="Leiðsögumaður",Leiðsögn!J48,Ökuleiðsögn!J48)</f>
        <v>24906</v>
      </c>
      <c r="K33" s="1">
        <f>IF($B$3="Leiðsögumaður",Leiðsögn!K48,Ökuleiðsögn!K48)</f>
        <v>42028</v>
      </c>
      <c r="L33" s="1">
        <f>IF($B$3="Leiðsögumaður",Leiðsögn!L48,Ökuleiðsögn!L48)</f>
        <v>29687</v>
      </c>
      <c r="M33" s="1">
        <f>IF($B$3="Leiðsögumaður",Leiðsögn!M48,Ökuleiðsögn!M48)</f>
        <v>48032</v>
      </c>
      <c r="N33" s="1">
        <f>IF($B$3="Leiðsögumaður",Leiðsögn!N48,Ökuleiðsögn!N48)</f>
        <v>35691</v>
      </c>
      <c r="O33" s="1">
        <f>IF($B$3="Leiðsögumaður",Leiðsögn!O48,Ökuleiðsögn!O48)</f>
        <v>54036</v>
      </c>
      <c r="P33" s="1">
        <f>IF($B$3="Leiðsögumaður",Leiðsögn!P48,Ökuleiðsögn!P48)</f>
        <v>41695</v>
      </c>
      <c r="Q33" s="1">
        <f>IF($B$3="Leiðsögumaður",Leiðsögn!Q48,Ökuleiðsögn!Q48)</f>
        <v>60040</v>
      </c>
      <c r="R33" s="1">
        <f>IF($B$3="Leiðsögumaður",Leiðsögn!R48,Ökuleiðsögn!R48)</f>
        <v>47699</v>
      </c>
      <c r="S33" s="1">
        <f>IF($B$3="Leiðsögumaður",Leiðsögn!S48,Ökuleiðsögn!S48)</f>
        <v>66044</v>
      </c>
    </row>
    <row r="34" spans="1:19" x14ac:dyDescent="0.25">
      <c r="A34" s="4" t="s">
        <v>47</v>
      </c>
      <c r="B34" s="1">
        <f>IF($B$3="Leiðsögumaður",Leiðsögn!B49,Ökuleiðsögn!B49)</f>
        <v>107</v>
      </c>
      <c r="D34" s="1">
        <f>IF($B$3="Leiðsögumaður",Leiðsögn!D49,Ökuleiðsögn!D49)</f>
        <v>428</v>
      </c>
      <c r="F34" s="1">
        <f>IF($B$3="Leiðsögumaður",Leiðsögn!F49,Ökuleiðsögn!F49)</f>
        <v>535</v>
      </c>
      <c r="H34" s="1">
        <f>IF($B$3="Leiðsögumaður",Leiðsögn!H49,Ökuleiðsögn!H49)</f>
        <v>642</v>
      </c>
      <c r="J34" s="1">
        <f>IF($B$3="Leiðsögumaður",Leiðsögn!J49,Ökuleiðsögn!J49)</f>
        <v>749</v>
      </c>
      <c r="L34" s="1">
        <f>IF($B$3="Leiðsögumaður",Leiðsögn!L49,Ökuleiðsögn!L49)</f>
        <v>802.5</v>
      </c>
      <c r="N34" s="1">
        <f>IF($B$3="Leiðsögumaður",Leiðsögn!N49,Ökuleiðsögn!N49)</f>
        <v>802.5</v>
      </c>
      <c r="P34" s="1">
        <f>IF($B$3="Leiðsögumaður",Leiðsögn!P49,Ökuleiðsögn!P49)</f>
        <v>802.5</v>
      </c>
      <c r="R34" s="1">
        <f>IF($B$3="Leiðsögumaður",Leiðsögn!R49,Ökuleiðsögn!R49)</f>
        <v>802.5</v>
      </c>
    </row>
    <row r="37" spans="1:19" x14ac:dyDescent="0.25">
      <c r="A37" s="4" t="s">
        <v>48</v>
      </c>
    </row>
    <row r="39" spans="1:19" x14ac:dyDescent="0.25">
      <c r="B39" s="5" t="s">
        <v>49</v>
      </c>
      <c r="C39" s="3" t="s">
        <v>50</v>
      </c>
      <c r="D39" s="3" t="s">
        <v>50</v>
      </c>
      <c r="E39" s="3" t="s">
        <v>50</v>
      </c>
      <c r="F39" s="3" t="s">
        <v>51</v>
      </c>
      <c r="G39" s="3" t="s">
        <v>51</v>
      </c>
      <c r="H39" s="3" t="s">
        <v>51</v>
      </c>
      <c r="I39" s="3" t="s">
        <v>52</v>
      </c>
      <c r="J39" s="3" t="s">
        <v>52</v>
      </c>
      <c r="K39" s="3" t="s">
        <v>53</v>
      </c>
      <c r="L39" s="3" t="s">
        <v>53</v>
      </c>
      <c r="M39" s="3" t="s">
        <v>54</v>
      </c>
      <c r="N39" s="3" t="s">
        <v>54</v>
      </c>
      <c r="O39" s="3" t="s">
        <v>54</v>
      </c>
      <c r="P39" s="3" t="s">
        <v>55</v>
      </c>
      <c r="Q39" s="3" t="s">
        <v>55</v>
      </c>
      <c r="R39" s="3" t="s">
        <v>55</v>
      </c>
      <c r="S39" s="3" t="s">
        <v>56</v>
      </c>
    </row>
    <row r="40" spans="1:19" x14ac:dyDescent="0.25">
      <c r="B40" s="5" t="s">
        <v>57</v>
      </c>
      <c r="C40" s="2">
        <v>2</v>
      </c>
      <c r="D40" s="2">
        <v>1</v>
      </c>
      <c r="E40" s="2">
        <v>0</v>
      </c>
      <c r="F40" s="2">
        <v>4</v>
      </c>
      <c r="G40" s="2">
        <v>3</v>
      </c>
      <c r="H40" s="2">
        <v>2</v>
      </c>
      <c r="I40" s="2">
        <v>5</v>
      </c>
      <c r="J40" s="2">
        <v>4</v>
      </c>
      <c r="K40" s="2">
        <v>6</v>
      </c>
      <c r="L40" s="2">
        <v>5</v>
      </c>
      <c r="M40" s="2">
        <v>8</v>
      </c>
      <c r="N40" s="2">
        <v>7</v>
      </c>
      <c r="O40" s="2">
        <v>6</v>
      </c>
      <c r="P40" s="2">
        <v>10</v>
      </c>
      <c r="Q40" s="2">
        <v>9</v>
      </c>
      <c r="R40" s="2">
        <v>8</v>
      </c>
      <c r="S40" s="2">
        <v>10</v>
      </c>
    </row>
    <row r="41" spans="1:19" x14ac:dyDescent="0.25">
      <c r="B41" s="5" t="s">
        <v>58</v>
      </c>
      <c r="C41" s="2">
        <v>0</v>
      </c>
      <c r="D41" s="2">
        <v>1</v>
      </c>
      <c r="E41" s="2">
        <v>2</v>
      </c>
      <c r="F41" s="2">
        <v>0</v>
      </c>
      <c r="G41" s="2">
        <v>1</v>
      </c>
      <c r="H41" s="2">
        <v>2</v>
      </c>
      <c r="I41" s="2">
        <v>1</v>
      </c>
      <c r="J41" s="2">
        <v>2</v>
      </c>
      <c r="K41" s="2">
        <v>2</v>
      </c>
      <c r="L41" s="2">
        <v>3</v>
      </c>
      <c r="M41" s="2">
        <v>2</v>
      </c>
      <c r="N41" s="2">
        <v>3</v>
      </c>
      <c r="O41" s="2">
        <v>4</v>
      </c>
      <c r="P41" s="2">
        <v>2</v>
      </c>
      <c r="Q41" s="2">
        <v>3</v>
      </c>
      <c r="R41" s="2">
        <v>4</v>
      </c>
      <c r="S41" s="2">
        <v>4</v>
      </c>
    </row>
    <row r="42" spans="1:19" x14ac:dyDescent="0.25">
      <c r="A42" s="4" t="s">
        <v>22</v>
      </c>
      <c r="C42" s="1">
        <f>IF($B$3="Leiðsögumaður",Leiðsögn!B58,Ökuleiðsögn!B58)</f>
        <v>86847</v>
      </c>
      <c r="D42" s="1">
        <f>IF($B$3="Leiðsögumaður",Leiðsögn!C58,Ökuleiðsögn!C58)</f>
        <v>103549.5</v>
      </c>
      <c r="E42" s="1">
        <f>IF($B$3="Leiðsögumaður",Leiðsögn!D58,Ökuleiðsögn!D58)</f>
        <v>120252</v>
      </c>
      <c r="F42" s="1">
        <f>IF($B$3="Leiðsögumaður",Leiðsögn!E58,Ökuleiðsögn!E58)</f>
        <v>173694</v>
      </c>
      <c r="G42" s="1">
        <f>IF($B$3="Leiðsögumaður",Leiðsögn!F58,Ökuleiðsögn!F58)</f>
        <v>190396.5</v>
      </c>
      <c r="H42" s="1">
        <f>IF($B$3="Leiðsögumaður",Leiðsögn!G58,Ökuleiðsögn!G58)</f>
        <v>207099</v>
      </c>
      <c r="I42" s="1">
        <f>IF($B$3="Leiðsögumaður",Leiðsögn!H58,Ökuleiðsögn!H58)</f>
        <v>277243.5</v>
      </c>
      <c r="J42" s="1">
        <f>IF($B$3="Leiðsögumaður",Leiðsögn!I58,Ökuleiðsögn!I58)</f>
        <v>293946</v>
      </c>
      <c r="K42" s="1">
        <f>IF($B$3="Leiðsögumaður",Leiðsögn!J58,Ökuleiðsögn!J58)</f>
        <v>380793</v>
      </c>
      <c r="L42" s="1">
        <f>IF($B$3="Leiðsögumaður",Leiðsögn!K58,Ökuleiðsögn!K58)</f>
        <v>397495.5</v>
      </c>
      <c r="M42" s="1">
        <f>IF($B$3="Leiðsögumaður",Leiðsögn!L58,Ökuleiðsögn!L58)</f>
        <v>467640</v>
      </c>
      <c r="N42" s="1">
        <f>IF($B$3="Leiðsögumaður",Leiðsögn!M58,Ökuleiðsögn!M58)</f>
        <v>484342.5</v>
      </c>
      <c r="O42" s="1">
        <f>IF($B$3="Leiðsögumaður",Leiðsögn!N58,Ökuleiðsögn!N58)</f>
        <v>501045</v>
      </c>
      <c r="P42" s="1">
        <f>IF($B$3="Leiðsögumaður",Leiðsögn!O58,Ökuleiðsögn!O58)</f>
        <v>554487</v>
      </c>
      <c r="Q42" s="1">
        <f>IF($B$3="Leiðsögumaður",Leiðsögn!P58,Ökuleiðsögn!P58)</f>
        <v>571189.5</v>
      </c>
      <c r="R42" s="1">
        <f>IF($B$3="Leiðsögumaður",Leiðsögn!Q58,Ökuleiðsögn!Q58)</f>
        <v>587892</v>
      </c>
      <c r="S42" s="1">
        <f>IF($B$3="Leiðsögumaður",Leiðsögn!R58,Ökuleiðsögn!R58)</f>
        <v>674739</v>
      </c>
    </row>
    <row r="43" spans="1:19" x14ac:dyDescent="0.25">
      <c r="A43" s="4" t="s">
        <v>23</v>
      </c>
      <c r="C43" s="1">
        <f>IF($B$3="Leiðsögumaður",Leiðsögn!B59,Ökuleiðsögn!B59)</f>
        <v>86847</v>
      </c>
      <c r="D43" s="1">
        <f>IF($B$3="Leiðsögumaður",Leiðsögn!C59,Ökuleiðsögn!C59)</f>
        <v>103549.5</v>
      </c>
      <c r="E43" s="1">
        <f>IF($B$3="Leiðsögumaður",Leiðsögn!D59,Ökuleiðsögn!D59)</f>
        <v>120252</v>
      </c>
      <c r="F43" s="1">
        <f>IF($B$3="Leiðsögumaður",Leiðsögn!E59,Ökuleiðsögn!E59)</f>
        <v>173694</v>
      </c>
      <c r="G43" s="1">
        <f>IF($B$3="Leiðsögumaður",Leiðsögn!F59,Ökuleiðsögn!F59)</f>
        <v>190396.5</v>
      </c>
      <c r="H43" s="1">
        <f>IF($B$3="Leiðsögumaður",Leiðsögn!G59,Ökuleiðsögn!G59)</f>
        <v>207099</v>
      </c>
      <c r="I43" s="1">
        <f>IF($B$3="Leiðsögumaður",Leiðsögn!H59,Ökuleiðsögn!H59)</f>
        <v>277243.5</v>
      </c>
      <c r="J43" s="1">
        <f>IF($B$3="Leiðsögumaður",Leiðsögn!I59,Ökuleiðsögn!I59)</f>
        <v>293946</v>
      </c>
      <c r="K43" s="1">
        <f>IF($B$3="Leiðsögumaður",Leiðsögn!J59,Ökuleiðsögn!J59)</f>
        <v>380793</v>
      </c>
      <c r="L43" s="1">
        <f>IF($B$3="Leiðsögumaður",Leiðsögn!K59,Ökuleiðsögn!K59)</f>
        <v>397495.5</v>
      </c>
      <c r="M43" s="1">
        <f>IF($B$3="Leiðsögumaður",Leiðsögn!L59,Ökuleiðsögn!L59)</f>
        <v>467640</v>
      </c>
      <c r="N43" s="1">
        <f>IF($B$3="Leiðsögumaður",Leiðsögn!M59,Ökuleiðsögn!M59)</f>
        <v>484342.5</v>
      </c>
      <c r="O43" s="1">
        <f>IF($B$3="Leiðsögumaður",Leiðsögn!N59,Ökuleiðsögn!N59)</f>
        <v>501045</v>
      </c>
      <c r="P43" s="1">
        <f>IF($B$3="Leiðsögumaður",Leiðsögn!O59,Ökuleiðsögn!O59)</f>
        <v>554487</v>
      </c>
      <c r="Q43" s="1">
        <f>IF($B$3="Leiðsögumaður",Leiðsögn!P59,Ökuleiðsögn!P59)</f>
        <v>571189.5</v>
      </c>
      <c r="R43" s="1">
        <f>IF($B$3="Leiðsögumaður",Leiðsögn!Q59,Ökuleiðsögn!Q59)</f>
        <v>587892</v>
      </c>
      <c r="S43" s="1">
        <f>IF($B$3="Leiðsögumaður",Leiðsögn!R59,Ökuleiðsögn!R59)</f>
        <v>674739</v>
      </c>
    </row>
    <row r="44" spans="1:19" x14ac:dyDescent="0.25">
      <c r="A44" s="4" t="s">
        <v>24</v>
      </c>
      <c r="C44" s="1">
        <f>IF($B$3="Leiðsögumaður",Leiðsögn!B60,Ökuleiðsögn!B60)</f>
        <v>87247</v>
      </c>
      <c r="D44" s="1">
        <f>IF($B$3="Leiðsögumaður",Leiðsögn!C60,Ökuleiðsögn!C60)</f>
        <v>104024.5</v>
      </c>
      <c r="E44" s="1">
        <f>IF($B$3="Leiðsögumaður",Leiðsögn!D60,Ökuleiðsögn!D60)</f>
        <v>120802</v>
      </c>
      <c r="F44" s="1">
        <f>IF($B$3="Leiðsögumaður",Leiðsögn!E60,Ökuleiðsögn!E60)</f>
        <v>174494</v>
      </c>
      <c r="G44" s="1">
        <f>IF($B$3="Leiðsögumaður",Leiðsögn!F60,Ökuleiðsögn!F60)</f>
        <v>191271.5</v>
      </c>
      <c r="H44" s="1">
        <f>IF($B$3="Leiðsögumaður",Leiðsögn!G60,Ökuleiðsögn!G60)</f>
        <v>208049</v>
      </c>
      <c r="I44" s="1">
        <f>IF($B$3="Leiðsögumaður",Leiðsögn!H60,Ökuleiðsögn!H60)</f>
        <v>278518.5</v>
      </c>
      <c r="J44" s="1">
        <f>IF($B$3="Leiðsögumaður",Leiðsögn!I60,Ökuleiðsögn!I60)</f>
        <v>295296</v>
      </c>
      <c r="K44" s="1">
        <f>IF($B$3="Leiðsögumaður",Leiðsögn!J60,Ökuleiðsögn!J60)</f>
        <v>382543</v>
      </c>
      <c r="L44" s="1">
        <f>IF($B$3="Leiðsögumaður",Leiðsögn!K60,Ökuleiðsögn!K60)</f>
        <v>399320.5</v>
      </c>
      <c r="M44" s="1">
        <f>IF($B$3="Leiðsögumaður",Leiðsögn!L60,Ökuleiðsögn!L60)</f>
        <v>469790</v>
      </c>
      <c r="N44" s="1">
        <f>IF($B$3="Leiðsögumaður",Leiðsögn!M60,Ökuleiðsögn!M60)</f>
        <v>486567.5</v>
      </c>
      <c r="O44" s="1">
        <f>IF($B$3="Leiðsögumaður",Leiðsögn!N60,Ökuleiðsögn!N60)</f>
        <v>503345</v>
      </c>
      <c r="P44" s="1">
        <f>IF($B$3="Leiðsögumaður",Leiðsögn!O60,Ökuleiðsögn!O60)</f>
        <v>557037</v>
      </c>
      <c r="Q44" s="1">
        <f>IF($B$3="Leiðsögumaður",Leiðsögn!P60,Ökuleiðsögn!P60)</f>
        <v>573814.5</v>
      </c>
      <c r="R44" s="1">
        <f>IF($B$3="Leiðsögumaður",Leiðsögn!Q60,Ökuleiðsögn!Q60)</f>
        <v>590592</v>
      </c>
      <c r="S44" s="1">
        <f>IF($B$3="Leiðsögumaður",Leiðsögn!R60,Ökuleiðsögn!R60)</f>
        <v>677839</v>
      </c>
    </row>
    <row r="45" spans="1:19" x14ac:dyDescent="0.25">
      <c r="A45" s="4" t="s">
        <v>25</v>
      </c>
      <c r="C45" s="1">
        <f>IF($B$3="Leiðsögumaður",Leiðsögn!B61,Ökuleiðsögn!B61)</f>
        <v>87305</v>
      </c>
      <c r="D45" s="1">
        <f>IF($B$3="Leiðsögumaður",Leiðsögn!C61,Ökuleiðsögn!C61)</f>
        <v>104097.5</v>
      </c>
      <c r="E45" s="1">
        <f>IF($B$3="Leiðsögumaður",Leiðsögn!D61,Ökuleiðsögn!D61)</f>
        <v>120890</v>
      </c>
      <c r="F45" s="1">
        <f>IF($B$3="Leiðsögumaður",Leiðsögn!E61,Ökuleiðsögn!E61)</f>
        <v>174610</v>
      </c>
      <c r="G45" s="1">
        <f>IF($B$3="Leiðsögumaður",Leiðsögn!F61,Ökuleiðsögn!F61)</f>
        <v>191402.5</v>
      </c>
      <c r="H45" s="1">
        <f>IF($B$3="Leiðsögumaður",Leiðsögn!G61,Ökuleiðsögn!G61)</f>
        <v>208195</v>
      </c>
      <c r="I45" s="1">
        <f>IF($B$3="Leiðsögumaður",Leiðsögn!H61,Ökuleiðsögn!H61)</f>
        <v>278707.5</v>
      </c>
      <c r="J45" s="1">
        <f>IF($B$3="Leiðsögumaður",Leiðsögn!I61,Ökuleiðsögn!I61)</f>
        <v>295500</v>
      </c>
      <c r="K45" s="1">
        <f>IF($B$3="Leiðsögumaður",Leiðsögn!J61,Ökuleiðsögn!J61)</f>
        <v>382805</v>
      </c>
      <c r="L45" s="1">
        <f>IF($B$3="Leiðsögumaður",Leiðsögn!K61,Ökuleiðsögn!K61)</f>
        <v>399597.5</v>
      </c>
      <c r="M45" s="1">
        <f>IF($B$3="Leiðsögumaður",Leiðsögn!L61,Ökuleiðsögn!L61)</f>
        <v>470110</v>
      </c>
      <c r="N45" s="1">
        <f>IF($B$3="Leiðsögumaður",Leiðsögn!M61,Ökuleiðsögn!M61)</f>
        <v>486902.5</v>
      </c>
      <c r="O45" s="1">
        <f>IF($B$3="Leiðsögumaður",Leiðsögn!N61,Ökuleiðsögn!N61)</f>
        <v>503695</v>
      </c>
      <c r="P45" s="1">
        <f>IF($B$3="Leiðsögumaður",Leiðsögn!O61,Ökuleiðsögn!O61)</f>
        <v>557415</v>
      </c>
      <c r="Q45" s="1">
        <f>IF($B$3="Leiðsögumaður",Leiðsögn!P61,Ökuleiðsögn!P61)</f>
        <v>574207.5</v>
      </c>
      <c r="R45" s="1">
        <f>IF($B$3="Leiðsögumaður",Leiðsögn!Q61,Ökuleiðsögn!Q61)</f>
        <v>591000</v>
      </c>
      <c r="S45" s="1">
        <f>IF($B$3="Leiðsögumaður",Leiðsögn!R61,Ökuleiðsögn!R61)</f>
        <v>678305</v>
      </c>
    </row>
    <row r="46" spans="1:19" x14ac:dyDescent="0.25">
      <c r="A46" s="4" t="s">
        <v>26</v>
      </c>
      <c r="C46" s="1">
        <f>IF($B$3="Leiðsögumaður",Leiðsögn!B62,Ökuleiðsögn!B62)</f>
        <v>89239</v>
      </c>
      <c r="D46" s="1">
        <f>IF($B$3="Leiðsögumaður",Leiðsögn!C62,Ökuleiðsögn!C62)</f>
        <v>106406.5</v>
      </c>
      <c r="E46" s="1">
        <f>IF($B$3="Leiðsögumaður",Leiðsögn!D62,Ökuleiðsögn!D62)</f>
        <v>123574</v>
      </c>
      <c r="F46" s="1">
        <f>IF($B$3="Leiðsögumaður",Leiðsögn!E62,Ökuleiðsögn!E62)</f>
        <v>178478</v>
      </c>
      <c r="G46" s="1">
        <f>IF($B$3="Leiðsögumaður",Leiðsögn!F62,Ökuleiðsögn!F62)</f>
        <v>195645.5</v>
      </c>
      <c r="H46" s="1">
        <f>IF($B$3="Leiðsögumaður",Leiðsögn!G62,Ökuleiðsögn!G62)</f>
        <v>212813</v>
      </c>
      <c r="I46" s="1">
        <f>IF($B$3="Leiðsögumaður",Leiðsögn!H62,Ökuleiðsögn!H62)</f>
        <v>284884.5</v>
      </c>
      <c r="J46" s="1">
        <f>IF($B$3="Leiðsögumaður",Leiðsögn!I62,Ökuleiðsögn!I62)</f>
        <v>302052</v>
      </c>
      <c r="K46" s="1">
        <f>IF($B$3="Leiðsögumaður",Leiðsögn!J62,Ökuleiðsögn!J62)</f>
        <v>391291</v>
      </c>
      <c r="L46" s="1">
        <f>IF($B$3="Leiðsögumaður",Leiðsögn!K62,Ökuleiðsögn!K62)</f>
        <v>408458.5</v>
      </c>
      <c r="M46" s="1">
        <f>IF($B$3="Leiðsögumaður",Leiðsögn!L62,Ökuleiðsögn!L62)</f>
        <v>480530</v>
      </c>
      <c r="N46" s="1">
        <f>IF($B$3="Leiðsögumaður",Leiðsögn!M62,Ökuleiðsögn!M62)</f>
        <v>497697.5</v>
      </c>
      <c r="O46" s="1">
        <f>IF($B$3="Leiðsögumaður",Leiðsögn!N62,Ökuleiðsögn!N62)</f>
        <v>514865</v>
      </c>
      <c r="P46" s="1">
        <f>IF($B$3="Leiðsögumaður",Leiðsögn!O62,Ökuleiðsögn!O62)</f>
        <v>569769</v>
      </c>
      <c r="Q46" s="1">
        <f>IF($B$3="Leiðsögumaður",Leiðsögn!P62,Ökuleiðsögn!P62)</f>
        <v>586936.5</v>
      </c>
      <c r="R46" s="1">
        <f>IF($B$3="Leiðsögumaður",Leiðsögn!Q62,Ökuleiðsögn!Q62)</f>
        <v>604104</v>
      </c>
      <c r="S46" s="1">
        <f>IF($B$3="Leiðsögumaður",Leiðsögn!R62,Ökuleiðsögn!R62)</f>
        <v>693343</v>
      </c>
    </row>
    <row r="47" spans="1:19" x14ac:dyDescent="0.25">
      <c r="A47" s="4" t="s">
        <v>27</v>
      </c>
      <c r="C47" s="1">
        <f>IF($B$3="Leiðsögumaður",Leiðsögn!B63,Ökuleiðsögn!B63)</f>
        <v>91864</v>
      </c>
      <c r="D47" s="1">
        <f>IF($B$3="Leiðsögumaður",Leiðsögn!C63,Ökuleiðsögn!C63)</f>
        <v>109534</v>
      </c>
      <c r="E47" s="1">
        <f>IF($B$3="Leiðsögumaður",Leiðsögn!D63,Ökuleiðsögn!D63)</f>
        <v>127204</v>
      </c>
      <c r="F47" s="1">
        <f>IF($B$3="Leiðsögumaður",Leiðsögn!E63,Ökuleiðsögn!E63)</f>
        <v>183728</v>
      </c>
      <c r="G47" s="1">
        <f>IF($B$3="Leiðsögumaður",Leiðsögn!F63,Ökuleiðsögn!F63)</f>
        <v>201398</v>
      </c>
      <c r="H47" s="1">
        <f>IF($B$3="Leiðsögumaður",Leiðsögn!G63,Ökuleiðsögn!G63)</f>
        <v>219068</v>
      </c>
      <c r="I47" s="1">
        <f>IF($B$3="Leiðsögumaður",Leiðsögn!H63,Ökuleiðsögn!H63)</f>
        <v>293262</v>
      </c>
      <c r="J47" s="1">
        <f>IF($B$3="Leiðsögumaður",Leiðsögn!I63,Ökuleiðsögn!I63)</f>
        <v>310932</v>
      </c>
      <c r="K47" s="1">
        <f>IF($B$3="Leiðsögumaður",Leiðsögn!J63,Ökuleiðsögn!J63)</f>
        <v>402796</v>
      </c>
      <c r="L47" s="1">
        <f>IF($B$3="Leiðsögumaður",Leiðsögn!K63,Ökuleiðsögn!K63)</f>
        <v>420466</v>
      </c>
      <c r="M47" s="1">
        <f>IF($B$3="Leiðsögumaður",Leiðsögn!L63,Ökuleiðsögn!L63)</f>
        <v>494660</v>
      </c>
      <c r="N47" s="1">
        <f>IF($B$3="Leiðsögumaður",Leiðsögn!M63,Ökuleiðsögn!M63)</f>
        <v>512330</v>
      </c>
      <c r="O47" s="1">
        <f>IF($B$3="Leiðsögumaður",Leiðsögn!N63,Ökuleiðsögn!N63)</f>
        <v>530000</v>
      </c>
      <c r="P47" s="1">
        <f>IF($B$3="Leiðsögumaður",Leiðsögn!O63,Ökuleiðsögn!O63)</f>
        <v>586524</v>
      </c>
      <c r="Q47" s="1">
        <f>IF($B$3="Leiðsögumaður",Leiðsögn!P63,Ökuleiðsögn!P63)</f>
        <v>604194</v>
      </c>
      <c r="R47" s="1">
        <f>IF($B$3="Leiðsögumaður",Leiðsögn!Q63,Ökuleiðsögn!Q63)</f>
        <v>621864</v>
      </c>
      <c r="S47" s="1">
        <f>IF($B$3="Leiðsögumaður",Leiðsögn!R63,Ökuleiðsögn!R63)</f>
        <v>713728</v>
      </c>
    </row>
    <row r="48" spans="1:19" x14ac:dyDescent="0.25">
      <c r="A48" s="4" t="s">
        <v>28</v>
      </c>
      <c r="C48" s="1">
        <f>IF($B$3="Leiðsögumaður",Leiðsögn!B64,Ökuleiðsögn!B64)</f>
        <v>92475</v>
      </c>
      <c r="D48" s="1">
        <f>IF($B$3="Leiðsögumaður",Leiðsögn!C64,Ökuleiðsögn!C64)</f>
        <v>110257.5</v>
      </c>
      <c r="E48" s="1">
        <f>IF($B$3="Leiðsögumaður",Leiðsögn!D64,Ökuleiðsögn!D64)</f>
        <v>128040</v>
      </c>
      <c r="F48" s="1">
        <f>IF($B$3="Leiðsögumaður",Leiðsögn!E64,Ökuleiðsögn!E64)</f>
        <v>184950</v>
      </c>
      <c r="G48" s="1">
        <f>IF($B$3="Leiðsögumaður",Leiðsögn!F64,Ökuleiðsögn!F64)</f>
        <v>202732.5</v>
      </c>
      <c r="H48" s="1">
        <f>IF($B$3="Leiðsögumaður",Leiðsögn!G64,Ökuleiðsögn!G64)</f>
        <v>220515</v>
      </c>
      <c r="I48" s="1">
        <f>IF($B$3="Leiðsögumaður",Leiðsögn!H64,Ökuleiðsögn!H64)</f>
        <v>295207.5</v>
      </c>
      <c r="J48" s="1">
        <f>IF($B$3="Leiðsögumaður",Leiðsögn!I64,Ökuleiðsögn!I64)</f>
        <v>312990</v>
      </c>
      <c r="K48" s="1">
        <f>IF($B$3="Leiðsögumaður",Leiðsögn!J64,Ökuleiðsögn!J64)</f>
        <v>405465</v>
      </c>
      <c r="L48" s="1">
        <f>IF($B$3="Leiðsögumaður",Leiðsögn!K64,Ökuleiðsögn!K64)</f>
        <v>423247.5</v>
      </c>
      <c r="M48" s="1">
        <f>IF($B$3="Leiðsögumaður",Leiðsögn!L64,Ökuleiðsögn!L64)</f>
        <v>497940</v>
      </c>
      <c r="N48" s="1">
        <f>IF($B$3="Leiðsögumaður",Leiðsögn!M64,Ökuleiðsögn!M64)</f>
        <v>515722.5</v>
      </c>
      <c r="O48" s="1">
        <f>IF($B$3="Leiðsögumaður",Leiðsögn!N64,Ökuleiðsögn!N64)</f>
        <v>533505</v>
      </c>
      <c r="P48" s="1">
        <f>IF($B$3="Leiðsögumaður",Leiðsögn!O64,Ökuleiðsögn!O64)</f>
        <v>590415</v>
      </c>
      <c r="Q48" s="1">
        <f>IF($B$3="Leiðsögumaður",Leiðsögn!P64,Ökuleiðsögn!P64)</f>
        <v>608197.5</v>
      </c>
      <c r="R48" s="1">
        <f>IF($B$3="Leiðsögumaður",Leiðsögn!Q64,Ökuleiðsögn!Q64)</f>
        <v>625980</v>
      </c>
      <c r="S48" s="1">
        <f>IF($B$3="Leiðsögumaður",Leiðsögn!R64,Ökuleiðsögn!R64)</f>
        <v>718455</v>
      </c>
    </row>
    <row r="49" spans="1:19" x14ac:dyDescent="0.25">
      <c r="A49" s="4" t="s">
        <v>29</v>
      </c>
      <c r="C49" s="1">
        <f>IF($B$3="Leiðsögumaður",Leiðsögn!B65,Ökuleiðsögn!B65)</f>
        <v>87967</v>
      </c>
      <c r="D49" s="1">
        <f>IF($B$3="Leiðsögumaður",Leiðsögn!C65,Ökuleiðsögn!C65)</f>
        <v>104879.5</v>
      </c>
      <c r="E49" s="1">
        <f>IF($B$3="Leiðsögumaður",Leiðsögn!D65,Ökuleiðsögn!D65)</f>
        <v>121792</v>
      </c>
      <c r="F49" s="1">
        <f>IF($B$3="Leiðsögumaður",Leiðsögn!E65,Ökuleiðsögn!E65)</f>
        <v>175934</v>
      </c>
      <c r="G49" s="1">
        <f>IF($B$3="Leiðsögumaður",Leiðsögn!F65,Ökuleiðsögn!F65)</f>
        <v>192846.5</v>
      </c>
      <c r="H49" s="1">
        <f>IF($B$3="Leiðsögumaður",Leiðsögn!G65,Ökuleiðsögn!G65)</f>
        <v>209759</v>
      </c>
      <c r="I49" s="1">
        <f>IF($B$3="Leiðsögumaður",Leiðsögn!H65,Ökuleiðsögn!H65)</f>
        <v>280813.5</v>
      </c>
      <c r="J49" s="1">
        <f>IF($B$3="Leiðsögumaður",Leiðsögn!I65,Ökuleiðsögn!I65)</f>
        <v>297726</v>
      </c>
      <c r="K49" s="1">
        <f>IF($B$3="Leiðsögumaður",Leiðsögn!J65,Ökuleiðsögn!J65)</f>
        <v>385693</v>
      </c>
      <c r="L49" s="1">
        <f>IF($B$3="Leiðsögumaður",Leiðsögn!K65,Ökuleiðsögn!K65)</f>
        <v>402605.5</v>
      </c>
      <c r="M49" s="1">
        <f>IF($B$3="Leiðsögumaður",Leiðsögn!L65,Ökuleiðsögn!L65)</f>
        <v>473660</v>
      </c>
      <c r="N49" s="1">
        <f>IF($B$3="Leiðsögumaður",Leiðsögn!M65,Ökuleiðsögn!M65)</f>
        <v>490572.5</v>
      </c>
      <c r="O49" s="1">
        <f>IF($B$3="Leiðsögumaður",Leiðsögn!N65,Ökuleiðsögn!N65)</f>
        <v>507485</v>
      </c>
      <c r="P49" s="1">
        <f>IF($B$3="Leiðsögumaður",Leiðsögn!O65,Ökuleiðsögn!O65)</f>
        <v>561627</v>
      </c>
      <c r="Q49" s="1">
        <f>IF($B$3="Leiðsögumaður",Leiðsögn!P65,Ökuleiðsögn!P65)</f>
        <v>578539.5</v>
      </c>
      <c r="R49" s="1">
        <f>IF($B$3="Leiðsögumaður",Leiðsögn!Q65,Ökuleiðsögn!Q65)</f>
        <v>595452</v>
      </c>
      <c r="S49" s="1">
        <f>IF($B$3="Leiðsögumaður",Leiðsögn!R65,Ökuleiðsögn!R65)</f>
        <v>683419</v>
      </c>
    </row>
    <row r="50" spans="1:19" x14ac:dyDescent="0.25">
      <c r="A50" s="4" t="s">
        <v>30</v>
      </c>
      <c r="C50" s="1">
        <f>IF($B$3="Leiðsögumaður",Leiðsögn!B66,Ökuleiðsögn!B66)</f>
        <v>91406</v>
      </c>
      <c r="D50" s="1">
        <f>IF($B$3="Leiðsögumaður",Leiðsögn!C66,Ökuleiðsögn!C66)</f>
        <v>108986</v>
      </c>
      <c r="E50" s="1">
        <f>IF($B$3="Leiðsögumaður",Leiðsögn!D66,Ökuleiðsögn!D66)</f>
        <v>126566</v>
      </c>
      <c r="F50" s="1">
        <f>IF($B$3="Leiðsögumaður",Leiðsögn!E66,Ökuleiðsögn!E66)</f>
        <v>182812</v>
      </c>
      <c r="G50" s="1">
        <f>IF($B$3="Leiðsögumaður",Leiðsögn!F66,Ökuleiðsögn!F66)</f>
        <v>200392</v>
      </c>
      <c r="H50" s="1">
        <f>IF($B$3="Leiðsögumaður",Leiðsögn!G66,Ökuleiðsögn!G66)</f>
        <v>217972</v>
      </c>
      <c r="I50" s="1">
        <f>IF($B$3="Leiðsögumaður",Leiðsögn!H66,Ökuleiðsögn!H66)</f>
        <v>291798</v>
      </c>
      <c r="J50" s="1">
        <f>IF($B$3="Leiðsögumaður",Leiðsögn!I66,Ökuleiðsögn!I66)</f>
        <v>309378</v>
      </c>
      <c r="K50" s="1">
        <f>IF($B$3="Leiðsögumaður",Leiðsögn!J66,Ökuleiðsögn!J66)</f>
        <v>400784</v>
      </c>
      <c r="L50" s="1">
        <f>IF($B$3="Leiðsögumaður",Leiðsögn!K66,Ökuleiðsögn!K66)</f>
        <v>418364</v>
      </c>
      <c r="M50" s="1">
        <f>IF($B$3="Leiðsögumaður",Leiðsögn!L66,Ökuleiðsögn!L66)</f>
        <v>492190</v>
      </c>
      <c r="N50" s="1">
        <f>IF($B$3="Leiðsögumaður",Leiðsögn!M66,Ökuleiðsögn!M66)</f>
        <v>509770</v>
      </c>
      <c r="O50" s="1">
        <f>IF($B$3="Leiðsögumaður",Leiðsögn!N66,Ökuleiðsögn!N66)</f>
        <v>527350</v>
      </c>
      <c r="P50" s="1">
        <f>IF($B$3="Leiðsögumaður",Leiðsögn!O66,Ökuleiðsögn!O66)</f>
        <v>583596</v>
      </c>
      <c r="Q50" s="1">
        <f>IF($B$3="Leiðsögumaður",Leiðsögn!P66,Ökuleiðsögn!P66)</f>
        <v>601176</v>
      </c>
      <c r="R50" s="1">
        <f>IF($B$3="Leiðsögumaður",Leiðsögn!Q66,Ökuleiðsögn!Q66)</f>
        <v>618756</v>
      </c>
      <c r="S50" s="1">
        <f>IF($B$3="Leiðsögumaður",Leiðsögn!R66,Ökuleiðsögn!R66)</f>
        <v>710162</v>
      </c>
    </row>
    <row r="51" spans="1:19" x14ac:dyDescent="0.25">
      <c r="A51" s="4" t="s">
        <v>31</v>
      </c>
      <c r="C51" s="1">
        <f>IF($B$3="Leiðsögumaður",Leiðsögn!B67,Ökuleiðsögn!B67)</f>
        <v>94111</v>
      </c>
      <c r="D51" s="1">
        <f>IF($B$3="Leiðsögumaður",Leiðsögn!C67,Ökuleiðsögn!C67)</f>
        <v>112208.5</v>
      </c>
      <c r="E51" s="1">
        <f>IF($B$3="Leiðsögumaður",Leiðsögn!D67,Ökuleiðsögn!D67)</f>
        <v>130306</v>
      </c>
      <c r="F51" s="1">
        <f>IF($B$3="Leiðsögumaður",Leiðsögn!E67,Ökuleiðsögn!E67)</f>
        <v>188222</v>
      </c>
      <c r="G51" s="1">
        <f>IF($B$3="Leiðsögumaður",Leiðsögn!F67,Ökuleiðsögn!F67)</f>
        <v>206319.5</v>
      </c>
      <c r="H51" s="1">
        <f>IF($B$3="Leiðsögumaður",Leiðsögn!G67,Ökuleiðsögn!G67)</f>
        <v>224417</v>
      </c>
      <c r="I51" s="1">
        <f>IF($B$3="Leiðsögumaður",Leiðsögn!H67,Ökuleiðsögn!H67)</f>
        <v>300430.5</v>
      </c>
      <c r="J51" s="1">
        <f>IF($B$3="Leiðsögumaður",Leiðsögn!I67,Ökuleiðsögn!I67)</f>
        <v>318528</v>
      </c>
      <c r="K51" s="1">
        <f>IF($B$3="Leiðsögumaður",Leiðsögn!J67,Ökuleiðsögn!J67)</f>
        <v>412639</v>
      </c>
      <c r="L51" s="1">
        <f>IF($B$3="Leiðsögumaður",Leiðsögn!K67,Ökuleiðsögn!K67)</f>
        <v>430736.5</v>
      </c>
      <c r="M51" s="1">
        <f>IF($B$3="Leiðsögumaður",Leiðsögn!L67,Ökuleiðsögn!L67)</f>
        <v>506750</v>
      </c>
      <c r="N51" s="1">
        <f>IF($B$3="Leiðsögumaður",Leiðsögn!M67,Ökuleiðsögn!M67)</f>
        <v>524847.5</v>
      </c>
      <c r="O51" s="1">
        <f>IF($B$3="Leiðsögumaður",Leiðsögn!N67,Ökuleiðsögn!N67)</f>
        <v>542945</v>
      </c>
      <c r="P51" s="1">
        <f>IF($B$3="Leiðsögumaður",Leiðsögn!O67,Ökuleiðsögn!O67)</f>
        <v>600861</v>
      </c>
      <c r="Q51" s="1">
        <f>IF($B$3="Leiðsögumaður",Leiðsögn!P67,Ökuleiðsögn!P67)</f>
        <v>618958.5</v>
      </c>
      <c r="R51" s="1">
        <f>IF($B$3="Leiðsögumaður",Leiðsögn!Q67,Ökuleiðsögn!Q67)</f>
        <v>637056</v>
      </c>
      <c r="S51" s="1">
        <f>IF($B$3="Leiðsögumaður",Leiðsögn!R67,Ökuleiðsögn!R67)</f>
        <v>731167</v>
      </c>
    </row>
    <row r="52" spans="1:19" x14ac:dyDescent="0.25">
      <c r="A52" s="4" t="s">
        <v>32</v>
      </c>
      <c r="C52" s="1">
        <f>IF($B$3="Leiðsögumaður",Leiðsögn!B68,Ökuleiðsögn!B68)</f>
        <v>95398</v>
      </c>
      <c r="D52" s="1">
        <f>IF($B$3="Leiðsögumaður",Leiðsögn!C68,Ökuleiðsögn!C68)</f>
        <v>113743</v>
      </c>
      <c r="E52" s="1">
        <f>IF($B$3="Leiðsögumaður",Leiðsögn!D68,Ökuleiðsögn!D68)</f>
        <v>132088</v>
      </c>
      <c r="F52" s="1">
        <f>IF($B$3="Leiðsögumaður",Leiðsögn!E68,Ökuleiðsögn!E68)</f>
        <v>190796</v>
      </c>
      <c r="G52" s="1">
        <f>IF($B$3="Leiðsögumaður",Leiðsögn!F68,Ökuleiðsögn!F68)</f>
        <v>209141</v>
      </c>
      <c r="H52" s="1">
        <f>IF($B$3="Leiðsögumaður",Leiðsögn!G68,Ökuleiðsögn!G68)</f>
        <v>227486</v>
      </c>
      <c r="I52" s="1">
        <f>IF($B$3="Leiðsögumaður",Leiðsögn!H68,Ökuleiðsögn!H68)</f>
        <v>304539</v>
      </c>
      <c r="J52" s="1">
        <f>IF($B$3="Leiðsögumaður",Leiðsögn!I68,Ökuleiðsögn!I68)</f>
        <v>322884</v>
      </c>
      <c r="K52" s="1">
        <f>IF($B$3="Leiðsögumaður",Leiðsögn!J68,Ökuleiðsögn!J68)</f>
        <v>418282</v>
      </c>
      <c r="L52" s="1">
        <f>IF($B$3="Leiðsögumaður",Leiðsögn!K68,Ökuleiðsögn!K68)</f>
        <v>436627</v>
      </c>
      <c r="M52" s="1">
        <f>IF($B$3="Leiðsögumaður",Leiðsögn!L68,Ökuleiðsögn!L68)</f>
        <v>513680</v>
      </c>
      <c r="N52" s="1">
        <f>IF($B$3="Leiðsögumaður",Leiðsögn!M68,Ökuleiðsögn!M68)</f>
        <v>532025</v>
      </c>
      <c r="O52" s="1">
        <f>IF($B$3="Leiðsögumaður",Leiðsögn!N68,Ökuleiðsögn!N68)</f>
        <v>550370</v>
      </c>
      <c r="P52" s="1">
        <f>IF($B$3="Leiðsögumaður",Leiðsögn!O68,Ökuleiðsögn!O68)</f>
        <v>609078</v>
      </c>
      <c r="Q52" s="1">
        <f>IF($B$3="Leiðsögumaður",Leiðsögn!P68,Ökuleiðsögn!P68)</f>
        <v>627423</v>
      </c>
      <c r="R52" s="1">
        <f>IF($B$3="Leiðsögumaður",Leiðsögn!Q68,Ökuleiðsögn!Q68)</f>
        <v>645768</v>
      </c>
      <c r="S52" s="1">
        <f>IF($B$3="Leiðsögumaður",Leiðsögn!R68,Ökuleiðsögn!R68)</f>
        <v>741166</v>
      </c>
    </row>
    <row r="53" spans="1:19" x14ac:dyDescent="0.25">
      <c r="A53" s="4" t="s">
        <v>47</v>
      </c>
      <c r="C53" s="1">
        <f>IF($B$3="Leiðsögumaður",Leiðsögn!B69,Ökuleiðsögn!B69)</f>
        <v>1605</v>
      </c>
      <c r="D53" s="1">
        <f>IF($B$3="Leiðsögumaður",Leiðsögn!C69,Ökuleiðsögn!C69)</f>
        <v>802.5</v>
      </c>
      <c r="F53" s="1">
        <f>IF($B$3="Leiðsögumaður",Leiðsögn!E69,Ökuleiðsögn!E69)</f>
        <v>3210</v>
      </c>
      <c r="G53" s="1">
        <f>IF($B$3="Leiðsögumaður",Leiðsögn!F69,Ökuleiðsögn!F69)</f>
        <v>2407.5</v>
      </c>
      <c r="H53" s="1">
        <f>IF($B$3="Leiðsögumaður",Leiðsögn!G69,Ökuleiðsögn!G69)</f>
        <v>1605</v>
      </c>
      <c r="I53" s="1">
        <f>IF($B$3="Leiðsögumaður",Leiðsögn!H69,Ökuleiðsögn!H69)</f>
        <v>4012.5</v>
      </c>
      <c r="J53" s="1">
        <f>IF($B$3="Leiðsögumaður",Leiðsögn!I69,Ökuleiðsögn!I69)</f>
        <v>3210</v>
      </c>
      <c r="K53" s="1">
        <f>IF($B$3="Leiðsögumaður",Leiðsögn!J69,Ökuleiðsögn!J69)</f>
        <v>4815</v>
      </c>
      <c r="L53" s="1">
        <f>IF($B$3="Leiðsögumaður",Leiðsögn!K69,Ökuleiðsögn!K69)</f>
        <v>4012.5</v>
      </c>
      <c r="M53" s="1">
        <f>IF($B$3="Leiðsögumaður",Leiðsögn!L69,Ökuleiðsögn!L69)</f>
        <v>6420</v>
      </c>
      <c r="N53" s="1">
        <f>IF($B$3="Leiðsögumaður",Leiðsögn!M69,Ökuleiðsögn!M69)</f>
        <v>5617.5</v>
      </c>
      <c r="O53" s="1">
        <f>IF($B$3="Leiðsögumaður",Leiðsögn!N69,Ökuleiðsögn!N69)</f>
        <v>4815</v>
      </c>
      <c r="P53" s="1">
        <f>IF($B$3="Leiðsögumaður",Leiðsögn!O69,Ökuleiðsögn!O69)</f>
        <v>8025</v>
      </c>
      <c r="Q53" s="1">
        <f>IF($B$3="Leiðsögumaður",Leiðsögn!P69,Ökuleiðsögn!P69)</f>
        <v>7222.5</v>
      </c>
      <c r="R53" s="1">
        <f>IF($B$3="Leiðsögumaður",Leiðsögn!Q69,Ökuleiðsögn!Q69)</f>
        <v>6420</v>
      </c>
      <c r="S53" s="1">
        <f>IF($B$3="Leiðsögumaður",Leiðsögn!R69,Ökuleiðsögn!R69)</f>
        <v>8025</v>
      </c>
    </row>
    <row r="56" spans="1:19" x14ac:dyDescent="0.25">
      <c r="A56" s="4" t="s">
        <v>59</v>
      </c>
    </row>
    <row r="57" spans="1:19" x14ac:dyDescent="0.25">
      <c r="B57" s="5" t="s">
        <v>60</v>
      </c>
      <c r="C57" s="3" t="s">
        <v>50</v>
      </c>
      <c r="D57" s="3" t="s">
        <v>50</v>
      </c>
      <c r="E57" s="3" t="s">
        <v>50</v>
      </c>
      <c r="F57" s="3" t="s">
        <v>51</v>
      </c>
      <c r="G57" s="3" t="s">
        <v>51</v>
      </c>
      <c r="H57" s="3" t="s">
        <v>51</v>
      </c>
      <c r="I57" s="3" t="s">
        <v>52</v>
      </c>
      <c r="J57" s="3" t="s">
        <v>52</v>
      </c>
      <c r="K57" s="3" t="s">
        <v>53</v>
      </c>
      <c r="L57" s="3" t="s">
        <v>53</v>
      </c>
      <c r="M57" s="3" t="s">
        <v>54</v>
      </c>
      <c r="N57" s="3" t="s">
        <v>54</v>
      </c>
      <c r="O57" s="3" t="s">
        <v>54</v>
      </c>
      <c r="P57" s="3" t="s">
        <v>55</v>
      </c>
      <c r="Q57" s="3" t="s">
        <v>55</v>
      </c>
      <c r="R57" s="3" t="s">
        <v>55</v>
      </c>
      <c r="S57" s="3" t="s">
        <v>56</v>
      </c>
    </row>
    <row r="58" spans="1:19" x14ac:dyDescent="0.25">
      <c r="B58" s="5" t="s">
        <v>57</v>
      </c>
      <c r="C58" s="2">
        <v>2</v>
      </c>
      <c r="D58" s="2">
        <v>1</v>
      </c>
      <c r="E58" s="2">
        <v>0</v>
      </c>
      <c r="F58" s="2">
        <v>4</v>
      </c>
      <c r="G58" s="2">
        <v>3</v>
      </c>
      <c r="H58" s="2">
        <v>2</v>
      </c>
      <c r="I58" s="2">
        <v>5</v>
      </c>
      <c r="J58" s="2">
        <v>4</v>
      </c>
      <c r="K58" s="2">
        <v>6</v>
      </c>
      <c r="L58" s="2">
        <v>5</v>
      </c>
      <c r="M58" s="2">
        <v>8</v>
      </c>
      <c r="N58" s="2">
        <v>7</v>
      </c>
      <c r="O58" s="2">
        <v>6</v>
      </c>
      <c r="P58" s="2">
        <v>10</v>
      </c>
      <c r="Q58" s="2">
        <v>9</v>
      </c>
      <c r="R58" s="2">
        <v>8</v>
      </c>
      <c r="S58" s="2">
        <v>10</v>
      </c>
    </row>
    <row r="59" spans="1:19" x14ac:dyDescent="0.25">
      <c r="B59" s="5" t="s">
        <v>58</v>
      </c>
      <c r="C59" s="2">
        <v>0</v>
      </c>
      <c r="D59" s="2">
        <v>1</v>
      </c>
      <c r="E59" s="2">
        <v>2</v>
      </c>
      <c r="F59" s="2">
        <v>0</v>
      </c>
      <c r="G59" s="2">
        <v>1</v>
      </c>
      <c r="H59" s="2">
        <v>2</v>
      </c>
      <c r="I59" s="2">
        <v>1</v>
      </c>
      <c r="J59" s="2">
        <v>2</v>
      </c>
      <c r="K59" s="2">
        <v>2</v>
      </c>
      <c r="L59" s="2">
        <v>3</v>
      </c>
      <c r="M59" s="2">
        <v>2</v>
      </c>
      <c r="N59" s="2">
        <v>3</v>
      </c>
      <c r="O59" s="2">
        <v>4</v>
      </c>
      <c r="P59" s="2">
        <v>2</v>
      </c>
      <c r="Q59" s="2">
        <v>3</v>
      </c>
      <c r="R59" s="2">
        <v>4</v>
      </c>
      <c r="S59" s="2">
        <v>4</v>
      </c>
    </row>
    <row r="60" spans="1:19" x14ac:dyDescent="0.25">
      <c r="A60" s="4" t="s">
        <v>22</v>
      </c>
      <c r="C60" s="1">
        <f>IF($B$3="Leiðsögumaður",Leiðsögn!B75,Ökuleiðsögn!B75)</f>
        <v>97779</v>
      </c>
      <c r="D60" s="1">
        <f>IF($B$3="Leiðsögumaður",Leiðsögn!C75,Ökuleiðsögn!C75)</f>
        <v>114481.5</v>
      </c>
      <c r="E60" s="1">
        <f>IF($B$3="Leiðsögumaður",Leiðsögn!D75,Ökuleiðsögn!D75)</f>
        <v>131184</v>
      </c>
      <c r="F60" s="1">
        <f>IF($B$3="Leiðsögumaður",Leiðsögn!E75,Ökuleiðsögn!E75)</f>
        <v>195558</v>
      </c>
      <c r="G60" s="1">
        <f>IF($B$3="Leiðsögumaður",Leiðsögn!F75,Ökuleiðsögn!F75)</f>
        <v>212260.5</v>
      </c>
      <c r="H60" s="1">
        <f>IF($B$3="Leiðsögumaður",Leiðsögn!G75,Ökuleiðsögn!G75)</f>
        <v>228963</v>
      </c>
      <c r="I60" s="1">
        <f>IF($B$3="Leiðsögumaður",Leiðsögn!H75,Ökuleiðsögn!H75)</f>
        <v>310039.5</v>
      </c>
      <c r="J60" s="1">
        <f>IF($B$3="Leiðsögumaður",Leiðsögn!I75,Ökuleiðsögn!I75)</f>
        <v>326742</v>
      </c>
      <c r="K60" s="1">
        <f>IF($B$3="Leiðsögumaður",Leiðsögn!J75,Ökuleiðsögn!J75)</f>
        <v>424521</v>
      </c>
      <c r="L60" s="1">
        <f>IF($B$3="Leiðsögumaður",Leiðsögn!K75,Ökuleiðsögn!K75)</f>
        <v>441223.5</v>
      </c>
      <c r="M60" s="1">
        <f>IF($B$3="Leiðsögumaður",Leiðsögn!L75,Ökuleiðsögn!L75)</f>
        <v>522300</v>
      </c>
      <c r="N60" s="1">
        <f>IF($B$3="Leiðsögumaður",Leiðsögn!M75,Ökuleiðsögn!M75)</f>
        <v>539002.5</v>
      </c>
      <c r="O60" s="1">
        <f>IF($B$3="Leiðsögumaður",Leiðsögn!N75,Ökuleiðsögn!N75)</f>
        <v>555705</v>
      </c>
      <c r="P60" s="1">
        <f>IF($B$3="Leiðsögumaður",Leiðsögn!O75,Ökuleiðsögn!O75)</f>
        <v>620079</v>
      </c>
      <c r="Q60" s="1">
        <f>IF($B$3="Leiðsögumaður",Leiðsögn!P75,Ökuleiðsögn!P75)</f>
        <v>636781.5</v>
      </c>
      <c r="R60" s="1">
        <f>IF($B$3="Leiðsögumaður",Leiðsögn!Q75,Ökuleiðsögn!Q75)</f>
        <v>653484</v>
      </c>
      <c r="S60" s="1">
        <f>IF($B$3="Leiðsögumaður",Leiðsögn!R75,Ökuleiðsögn!R75)</f>
        <v>751263</v>
      </c>
    </row>
    <row r="61" spans="1:19" x14ac:dyDescent="0.25">
      <c r="A61" s="4" t="s">
        <v>23</v>
      </c>
      <c r="C61" s="1">
        <f>IF($B$3="Leiðsögumaður",Leiðsögn!B76,Ökuleiðsögn!B76)</f>
        <v>97779</v>
      </c>
      <c r="D61" s="1">
        <f>IF($B$3="Leiðsögumaður",Leiðsögn!C76,Ökuleiðsögn!C76)</f>
        <v>114481.5</v>
      </c>
      <c r="E61" s="1">
        <f>IF($B$3="Leiðsögumaður",Leiðsögn!D76,Ökuleiðsögn!D76)</f>
        <v>131184</v>
      </c>
      <c r="F61" s="1">
        <f>IF($B$3="Leiðsögumaður",Leiðsögn!E76,Ökuleiðsögn!E76)</f>
        <v>195558</v>
      </c>
      <c r="G61" s="1">
        <f>IF($B$3="Leiðsögumaður",Leiðsögn!F76,Ökuleiðsögn!F76)</f>
        <v>212260.5</v>
      </c>
      <c r="H61" s="1">
        <f>IF($B$3="Leiðsögumaður",Leiðsögn!G76,Ökuleiðsögn!G76)</f>
        <v>228963</v>
      </c>
      <c r="I61" s="1">
        <f>IF($B$3="Leiðsögumaður",Leiðsögn!H76,Ökuleiðsögn!H76)</f>
        <v>310039.5</v>
      </c>
      <c r="J61" s="1">
        <f>IF($B$3="Leiðsögumaður",Leiðsögn!I76,Ökuleiðsögn!I76)</f>
        <v>326742</v>
      </c>
      <c r="K61" s="1">
        <f>IF($B$3="Leiðsögumaður",Leiðsögn!J76,Ökuleiðsögn!J76)</f>
        <v>424521</v>
      </c>
      <c r="L61" s="1">
        <f>IF($B$3="Leiðsögumaður",Leiðsögn!K76,Ökuleiðsögn!K76)</f>
        <v>441223.5</v>
      </c>
      <c r="M61" s="1">
        <f>IF($B$3="Leiðsögumaður",Leiðsögn!L76,Ökuleiðsögn!L76)</f>
        <v>522300</v>
      </c>
      <c r="N61" s="1">
        <f>IF($B$3="Leiðsögumaður",Leiðsögn!M76,Ökuleiðsögn!M76)</f>
        <v>539002.5</v>
      </c>
      <c r="O61" s="1">
        <f>IF($B$3="Leiðsögumaður",Leiðsögn!N76,Ökuleiðsögn!N76)</f>
        <v>555705</v>
      </c>
      <c r="P61" s="1">
        <f>IF($B$3="Leiðsögumaður",Leiðsögn!O76,Ökuleiðsögn!O76)</f>
        <v>620079</v>
      </c>
      <c r="Q61" s="1">
        <f>IF($B$3="Leiðsögumaður",Leiðsögn!P76,Ökuleiðsögn!P76)</f>
        <v>636781.5</v>
      </c>
      <c r="R61" s="1">
        <f>IF($B$3="Leiðsögumaður",Leiðsögn!Q76,Ökuleiðsögn!Q76)</f>
        <v>653484</v>
      </c>
      <c r="S61" s="1">
        <f>IF($B$3="Leiðsögumaður",Leiðsögn!R76,Ökuleiðsögn!R76)</f>
        <v>751263</v>
      </c>
    </row>
    <row r="62" spans="1:19" x14ac:dyDescent="0.25">
      <c r="A62" s="4" t="s">
        <v>24</v>
      </c>
      <c r="C62" s="1">
        <f>IF($B$3="Leiðsögumaður",Leiðsögn!B77,Ökuleiðsögn!B77)</f>
        <v>98229</v>
      </c>
      <c r="D62" s="1">
        <f>IF($B$3="Leiðsögumaður",Leiðsögn!C77,Ökuleiðsögn!C77)</f>
        <v>115006.5</v>
      </c>
      <c r="E62" s="1">
        <f>IF($B$3="Leiðsögumaður",Leiðsögn!D77,Ökuleiðsögn!D77)</f>
        <v>131784</v>
      </c>
      <c r="F62" s="1">
        <f>IF($B$3="Leiðsögumaður",Leiðsögn!E77,Ökuleiðsögn!E77)</f>
        <v>196458</v>
      </c>
      <c r="G62" s="1">
        <f>IF($B$3="Leiðsögumaður",Leiðsögn!F77,Ökuleiðsögn!F77)</f>
        <v>213235.5</v>
      </c>
      <c r="H62" s="1">
        <f>IF($B$3="Leiðsögumaður",Leiðsögn!G77,Ökuleiðsögn!G77)</f>
        <v>230013</v>
      </c>
      <c r="I62" s="1">
        <f>IF($B$3="Leiðsögumaður",Leiðsögn!H77,Ökuleiðsögn!H77)</f>
        <v>311464.5</v>
      </c>
      <c r="J62" s="1">
        <f>IF($B$3="Leiðsögumaður",Leiðsögn!I77,Ökuleiðsögn!I77)</f>
        <v>328242</v>
      </c>
      <c r="K62" s="1">
        <f>IF($B$3="Leiðsögumaður",Leiðsögn!J77,Ökuleiðsögn!J77)</f>
        <v>426471</v>
      </c>
      <c r="L62" s="1">
        <f>IF($B$3="Leiðsögumaður",Leiðsögn!K77,Ökuleiðsögn!K77)</f>
        <v>443248.5</v>
      </c>
      <c r="M62" s="1">
        <f>IF($B$3="Leiðsögumaður",Leiðsögn!L77,Ökuleiðsögn!L77)</f>
        <v>524700</v>
      </c>
      <c r="N62" s="1">
        <f>IF($B$3="Leiðsögumaður",Leiðsögn!M77,Ökuleiðsögn!M77)</f>
        <v>541477.5</v>
      </c>
      <c r="O62" s="1">
        <f>IF($B$3="Leiðsögumaður",Leiðsögn!N77,Ökuleiðsögn!N77)</f>
        <v>558255</v>
      </c>
      <c r="P62" s="1">
        <f>IF($B$3="Leiðsögumaður",Leiðsögn!O77,Ökuleiðsögn!O77)</f>
        <v>622929</v>
      </c>
      <c r="Q62" s="1">
        <f>IF($B$3="Leiðsögumaður",Leiðsögn!P77,Ökuleiðsögn!P77)</f>
        <v>639706.5</v>
      </c>
      <c r="R62" s="1">
        <f>IF($B$3="Leiðsögumaður",Leiðsögn!Q77,Ökuleiðsögn!Q77)</f>
        <v>656484</v>
      </c>
      <c r="S62" s="1">
        <f>IF($B$3="Leiðsögumaður",Leiðsögn!R77,Ökuleiðsögn!R77)</f>
        <v>754713</v>
      </c>
    </row>
    <row r="63" spans="1:19" x14ac:dyDescent="0.25">
      <c r="A63" s="4" t="s">
        <v>25</v>
      </c>
      <c r="C63" s="1">
        <f>IF($B$3="Leiðsögumaður",Leiðsögn!B78,Ökuleiðsögn!B78)</f>
        <v>98295</v>
      </c>
      <c r="D63" s="1">
        <f>IF($B$3="Leiðsögumaður",Leiðsögn!C78,Ökuleiðsögn!C78)</f>
        <v>115087.5</v>
      </c>
      <c r="E63" s="1">
        <f>IF($B$3="Leiðsögumaður",Leiðsögn!D78,Ökuleiðsögn!D78)</f>
        <v>131880</v>
      </c>
      <c r="F63" s="1">
        <f>IF($B$3="Leiðsögumaður",Leiðsögn!E78,Ökuleiðsögn!E78)</f>
        <v>196590</v>
      </c>
      <c r="G63" s="1">
        <f>IF($B$3="Leiðsögumaður",Leiðsögn!F78,Ökuleiðsögn!F78)</f>
        <v>213382.5</v>
      </c>
      <c r="H63" s="1">
        <f>IF($B$3="Leiðsögumaður",Leiðsögn!G78,Ökuleiðsögn!G78)</f>
        <v>230175</v>
      </c>
      <c r="I63" s="1">
        <f>IF($B$3="Leiðsögumaður",Leiðsögn!H78,Ökuleiðsögn!H78)</f>
        <v>311677.5</v>
      </c>
      <c r="J63" s="1">
        <f>IF($B$3="Leiðsögumaður",Leiðsögn!I78,Ökuleiðsögn!I78)</f>
        <v>328470</v>
      </c>
      <c r="K63" s="1">
        <f>IF($B$3="Leiðsögumaður",Leiðsögn!J78,Ökuleiðsögn!J78)</f>
        <v>426765</v>
      </c>
      <c r="L63" s="1">
        <f>IF($B$3="Leiðsögumaður",Leiðsögn!K78,Ökuleiðsögn!K78)</f>
        <v>443557.5</v>
      </c>
      <c r="M63" s="1">
        <f>IF($B$3="Leiðsögumaður",Leiðsögn!L78,Ökuleiðsögn!L78)</f>
        <v>525060</v>
      </c>
      <c r="N63" s="1">
        <f>IF($B$3="Leiðsögumaður",Leiðsögn!M78,Ökuleiðsögn!M78)</f>
        <v>541852.5</v>
      </c>
      <c r="O63" s="1">
        <f>IF($B$3="Leiðsögumaður",Leiðsögn!N78,Ökuleiðsögn!N78)</f>
        <v>558645</v>
      </c>
      <c r="P63" s="1">
        <f>IF($B$3="Leiðsögumaður",Leiðsögn!O78,Ökuleiðsögn!O78)</f>
        <v>623355</v>
      </c>
      <c r="Q63" s="1">
        <f>IF($B$3="Leiðsögumaður",Leiðsögn!P78,Ökuleiðsögn!P78)</f>
        <v>640147.5</v>
      </c>
      <c r="R63" s="1">
        <f>IF($B$3="Leiðsögumaður",Leiðsögn!Q78,Ökuleiðsögn!Q78)</f>
        <v>656940</v>
      </c>
      <c r="S63" s="1">
        <f>IF($B$3="Leiðsögumaður",Leiðsögn!R78,Ökuleiðsögn!R78)</f>
        <v>755235</v>
      </c>
    </row>
    <row r="64" spans="1:19" x14ac:dyDescent="0.25">
      <c r="A64" s="4" t="s">
        <v>26</v>
      </c>
      <c r="C64" s="1">
        <f>IF($B$3="Leiðsögumaður",Leiðsögn!B79,Ökuleiðsögn!B79)</f>
        <v>100473</v>
      </c>
      <c r="D64" s="1">
        <f>IF($B$3="Leiðsögumaður",Leiðsögn!C79,Ökuleiðsögn!C79)</f>
        <v>117640.5</v>
      </c>
      <c r="E64" s="1">
        <f>IF($B$3="Leiðsögumaður",Leiðsögn!D79,Ökuleiðsögn!D79)</f>
        <v>134808</v>
      </c>
      <c r="F64" s="1">
        <f>IF($B$3="Leiðsögumaður",Leiðsögn!E79,Ökuleiðsögn!E79)</f>
        <v>200946</v>
      </c>
      <c r="G64" s="1">
        <f>IF($B$3="Leiðsögumaður",Leiðsögn!F79,Ökuleiðsögn!F79)</f>
        <v>218113.5</v>
      </c>
      <c r="H64" s="1">
        <f>IF($B$3="Leiðsögumaður",Leiðsögn!G79,Ökuleiðsögn!G79)</f>
        <v>235281</v>
      </c>
      <c r="I64" s="1">
        <f>IF($B$3="Leiðsögumaður",Leiðsögn!H79,Ökuleiðsögn!H79)</f>
        <v>318586.5</v>
      </c>
      <c r="J64" s="1">
        <f>IF($B$3="Leiðsögumaður",Leiðsögn!I79,Ökuleiðsögn!I79)</f>
        <v>335754</v>
      </c>
      <c r="K64" s="1">
        <f>IF($B$3="Leiðsögumaður",Leiðsögn!J79,Ökuleiðsögn!J79)</f>
        <v>436227</v>
      </c>
      <c r="L64" s="1">
        <f>IF($B$3="Leiðsögumaður",Leiðsögn!K79,Ökuleiðsögn!K79)</f>
        <v>453394.5</v>
      </c>
      <c r="M64" s="1">
        <f>IF($B$3="Leiðsögumaður",Leiðsögn!L79,Ökuleiðsögn!L79)</f>
        <v>536700</v>
      </c>
      <c r="N64" s="1">
        <f>IF($B$3="Leiðsögumaður",Leiðsögn!M79,Ökuleiðsögn!M79)</f>
        <v>553867.5</v>
      </c>
      <c r="O64" s="1">
        <f>IF($B$3="Leiðsögumaður",Leiðsögn!N79,Ökuleiðsögn!N79)</f>
        <v>571035</v>
      </c>
      <c r="P64" s="1">
        <f>IF($B$3="Leiðsögumaður",Leiðsögn!O79,Ökuleiðsögn!O79)</f>
        <v>637173</v>
      </c>
      <c r="Q64" s="1">
        <f>IF($B$3="Leiðsögumaður",Leiðsögn!P79,Ökuleiðsögn!P79)</f>
        <v>654340.5</v>
      </c>
      <c r="R64" s="1">
        <f>IF($B$3="Leiðsögumaður",Leiðsögn!Q79,Ökuleiðsögn!Q79)</f>
        <v>671508</v>
      </c>
      <c r="S64" s="1">
        <f>IF($B$3="Leiðsögumaður",Leiðsögn!R79,Ökuleiðsögn!R79)</f>
        <v>771981</v>
      </c>
    </row>
    <row r="65" spans="1:19" x14ac:dyDescent="0.25">
      <c r="A65" s="4" t="s">
        <v>27</v>
      </c>
      <c r="C65" s="1">
        <f>IF($B$3="Leiðsögumaður",Leiðsögn!B80,Ökuleiðsögn!B80)</f>
        <v>103428</v>
      </c>
      <c r="D65" s="1">
        <f>IF($B$3="Leiðsögumaður",Leiðsögn!C80,Ökuleiðsögn!C80)</f>
        <v>121098</v>
      </c>
      <c r="E65" s="1">
        <f>IF($B$3="Leiðsögumaður",Leiðsögn!D80,Ökuleiðsögn!D80)</f>
        <v>138768</v>
      </c>
      <c r="F65" s="1">
        <f>IF($B$3="Leiðsögumaður",Leiðsögn!E80,Ökuleiðsögn!E80)</f>
        <v>206856</v>
      </c>
      <c r="G65" s="1">
        <f>IF($B$3="Leiðsögumaður",Leiðsögn!F80,Ökuleiðsögn!F80)</f>
        <v>224526</v>
      </c>
      <c r="H65" s="1">
        <f>IF($B$3="Leiðsögumaður",Leiðsögn!G80,Ökuleiðsögn!G80)</f>
        <v>242196</v>
      </c>
      <c r="I65" s="1">
        <f>IF($B$3="Leiðsögumaður",Leiðsögn!H80,Ökuleiðsögn!H80)</f>
        <v>327954</v>
      </c>
      <c r="J65" s="1">
        <f>IF($B$3="Leiðsögumaður",Leiðsögn!I80,Ökuleiðsögn!I80)</f>
        <v>345624</v>
      </c>
      <c r="K65" s="1">
        <f>IF($B$3="Leiðsögumaður",Leiðsögn!J80,Ökuleiðsögn!J80)</f>
        <v>449052</v>
      </c>
      <c r="L65" s="1">
        <f>IF($B$3="Leiðsögumaður",Leiðsögn!K80,Ökuleiðsögn!K80)</f>
        <v>466722</v>
      </c>
      <c r="M65" s="1">
        <f>IF($B$3="Leiðsögumaður",Leiðsögn!L80,Ökuleiðsögn!L80)</f>
        <v>552480</v>
      </c>
      <c r="N65" s="1">
        <f>IF($B$3="Leiðsögumaður",Leiðsögn!M80,Ökuleiðsögn!M80)</f>
        <v>570150</v>
      </c>
      <c r="O65" s="1">
        <f>IF($B$3="Leiðsögumaður",Leiðsögn!N80,Ökuleiðsögn!N80)</f>
        <v>587820</v>
      </c>
      <c r="P65" s="1">
        <f>IF($B$3="Leiðsögumaður",Leiðsögn!O80,Ökuleiðsögn!O80)</f>
        <v>655908</v>
      </c>
      <c r="Q65" s="1">
        <f>IF($B$3="Leiðsögumaður",Leiðsögn!P80,Ökuleiðsögn!P80)</f>
        <v>673578</v>
      </c>
      <c r="R65" s="1">
        <f>IF($B$3="Leiðsögumaður",Leiðsögn!Q80,Ökuleiðsögn!Q80)</f>
        <v>691248</v>
      </c>
      <c r="S65" s="1">
        <f>IF($B$3="Leiðsögumaður",Leiðsögn!R80,Ökuleiðsögn!R80)</f>
        <v>794676</v>
      </c>
    </row>
    <row r="66" spans="1:19" x14ac:dyDescent="0.25">
      <c r="A66" s="4" t="s">
        <v>28</v>
      </c>
      <c r="C66" s="1">
        <f>IF($B$3="Leiðsögumaður",Leiðsögn!B81,Ökuleiðsögn!B81)</f>
        <v>104115</v>
      </c>
      <c r="D66" s="1">
        <f>IF($B$3="Leiðsögumaður",Leiðsögn!C81,Ökuleiðsögn!C81)</f>
        <v>121897.5</v>
      </c>
      <c r="E66" s="1">
        <f>IF($B$3="Leiðsögumaður",Leiðsögn!D81,Ökuleiðsögn!D81)</f>
        <v>139680</v>
      </c>
      <c r="F66" s="1">
        <f>IF($B$3="Leiðsögumaður",Leiðsögn!E81,Ökuleiðsögn!E81)</f>
        <v>208230</v>
      </c>
      <c r="G66" s="1">
        <f>IF($B$3="Leiðsögumaður",Leiðsögn!F81,Ökuleiðsögn!F81)</f>
        <v>226012.5</v>
      </c>
      <c r="H66" s="1">
        <f>IF($B$3="Leiðsögumaður",Leiðsögn!G81,Ökuleiðsögn!G81)</f>
        <v>243795</v>
      </c>
      <c r="I66" s="1">
        <f>IF($B$3="Leiðsögumaður",Leiðsögn!H81,Ökuleiðsögn!H81)</f>
        <v>330127.5</v>
      </c>
      <c r="J66" s="1">
        <f>IF($B$3="Leiðsögumaður",Leiðsögn!I81,Ökuleiðsögn!I81)</f>
        <v>347910</v>
      </c>
      <c r="K66" s="1">
        <f>IF($B$3="Leiðsögumaður",Leiðsögn!J81,Ökuleiðsögn!J81)</f>
        <v>452025</v>
      </c>
      <c r="L66" s="1">
        <f>IF($B$3="Leiðsögumaður",Leiðsögn!K81,Ökuleiðsögn!K81)</f>
        <v>469807.5</v>
      </c>
      <c r="M66" s="1">
        <f>IF($B$3="Leiðsögumaður",Leiðsögn!L81,Ökuleiðsögn!L81)</f>
        <v>556140</v>
      </c>
      <c r="N66" s="1">
        <f>IF($B$3="Leiðsögumaður",Leiðsögn!M81,Ökuleiðsögn!M81)</f>
        <v>573922.5</v>
      </c>
      <c r="O66" s="1">
        <f>IF($B$3="Leiðsögumaður",Leiðsögn!N81,Ökuleiðsögn!N81)</f>
        <v>591705</v>
      </c>
      <c r="P66" s="1">
        <f>IF($B$3="Leiðsögumaður",Leiðsögn!O81,Ökuleiðsögn!O81)</f>
        <v>660255</v>
      </c>
      <c r="Q66" s="1">
        <f>IF($B$3="Leiðsögumaður",Leiðsögn!P81,Ökuleiðsögn!P81)</f>
        <v>678037.5</v>
      </c>
      <c r="R66" s="1">
        <f>IF($B$3="Leiðsögumaður",Leiðsögn!Q81,Ökuleiðsögn!Q81)</f>
        <v>695820</v>
      </c>
      <c r="S66" s="1">
        <f>IF($B$3="Leiðsögumaður",Leiðsögn!R81,Ökuleiðsögn!R81)</f>
        <v>799935</v>
      </c>
    </row>
    <row r="67" spans="1:19" x14ac:dyDescent="0.25">
      <c r="A67" s="4" t="s">
        <v>29</v>
      </c>
      <c r="C67" s="1">
        <f>IF($B$3="Leiðsögumaður",Leiðsögn!B82,Ökuleiðsögn!B82)</f>
        <v>99039</v>
      </c>
      <c r="D67" s="1">
        <f>IF($B$3="Leiðsögumaður",Leiðsögn!C82,Ökuleiðsögn!C82)</f>
        <v>115951.5</v>
      </c>
      <c r="E67" s="1">
        <f>IF($B$3="Leiðsögumaður",Leiðsögn!D82,Ökuleiðsögn!D82)</f>
        <v>132864</v>
      </c>
      <c r="F67" s="1">
        <f>IF($B$3="Leiðsögumaður",Leiðsögn!E82,Ökuleiðsögn!E82)</f>
        <v>198078</v>
      </c>
      <c r="G67" s="1">
        <f>IF($B$3="Leiðsögumaður",Leiðsögn!F82,Ökuleiðsögn!F82)</f>
        <v>214990.5</v>
      </c>
      <c r="H67" s="1">
        <f>IF($B$3="Leiðsögumaður",Leiðsögn!G82,Ökuleiðsögn!G82)</f>
        <v>231903</v>
      </c>
      <c r="I67" s="1">
        <f>IF($B$3="Leiðsögumaður",Leiðsögn!H82,Ökuleiðsögn!H82)</f>
        <v>314029.5</v>
      </c>
      <c r="J67" s="1">
        <f>IF($B$3="Leiðsögumaður",Leiðsögn!I82,Ökuleiðsögn!I82)</f>
        <v>330942</v>
      </c>
      <c r="K67" s="1">
        <f>IF($B$3="Leiðsögumaður",Leiðsögn!J82,Ökuleiðsögn!J82)</f>
        <v>429981</v>
      </c>
      <c r="L67" s="1">
        <f>IF($B$3="Leiðsögumaður",Leiðsögn!K82,Ökuleiðsögn!K82)</f>
        <v>446893.5</v>
      </c>
      <c r="M67" s="1">
        <f>IF($B$3="Leiðsögumaður",Leiðsögn!L82,Ökuleiðsögn!L82)</f>
        <v>529020</v>
      </c>
      <c r="N67" s="1">
        <f>IF($B$3="Leiðsögumaður",Leiðsögn!M82,Ökuleiðsögn!M82)</f>
        <v>545932.5</v>
      </c>
      <c r="O67" s="1">
        <f>IF($B$3="Leiðsögumaður",Leiðsögn!N82,Ökuleiðsögn!N82)</f>
        <v>562845</v>
      </c>
      <c r="P67" s="1">
        <f>IF($B$3="Leiðsögumaður",Leiðsögn!O82,Ökuleiðsögn!O82)</f>
        <v>628059</v>
      </c>
      <c r="Q67" s="1">
        <f>IF($B$3="Leiðsögumaður",Leiðsögn!P82,Ökuleiðsögn!P82)</f>
        <v>644971.5</v>
      </c>
      <c r="R67" s="1">
        <f>IF($B$3="Leiðsögumaður",Leiðsögn!Q82,Ökuleiðsögn!Q82)</f>
        <v>661884</v>
      </c>
      <c r="S67" s="1">
        <f>IF($B$3="Leiðsögumaður",Leiðsögn!R82,Ökuleiðsögn!R82)</f>
        <v>760923</v>
      </c>
    </row>
    <row r="68" spans="1:19" x14ac:dyDescent="0.25">
      <c r="A68" s="4" t="s">
        <v>30</v>
      </c>
      <c r="C68" s="1">
        <f>IF($B$3="Leiðsögumaður",Leiðsögn!B83,Ökuleiðsögn!B83)</f>
        <v>102912</v>
      </c>
      <c r="D68" s="1">
        <f>IF($B$3="Leiðsögumaður",Leiðsögn!C83,Ökuleiðsögn!C83)</f>
        <v>120492</v>
      </c>
      <c r="E68" s="1">
        <f>IF($B$3="Leiðsögumaður",Leiðsögn!D83,Ökuleiðsögn!D83)</f>
        <v>138072</v>
      </c>
      <c r="F68" s="1">
        <f>IF($B$3="Leiðsögumaður",Leiðsögn!E83,Ökuleiðsögn!E83)</f>
        <v>205824</v>
      </c>
      <c r="G68" s="1">
        <f>IF($B$3="Leiðsögumaður",Leiðsögn!F83,Ökuleiðsögn!F83)</f>
        <v>223404</v>
      </c>
      <c r="H68" s="1">
        <f>IF($B$3="Leiðsögumaður",Leiðsögn!G83,Ökuleiðsögn!G83)</f>
        <v>240984</v>
      </c>
      <c r="I68" s="1">
        <f>IF($B$3="Leiðsögumaður",Leiðsögn!H83,Ökuleiðsögn!H83)</f>
        <v>326316</v>
      </c>
      <c r="J68" s="1">
        <f>IF($B$3="Leiðsögumaður",Leiðsögn!I83,Ökuleiðsögn!I83)</f>
        <v>343896</v>
      </c>
      <c r="K68" s="1">
        <f>IF($B$3="Leiðsögumaður",Leiðsögn!J83,Ökuleiðsögn!J83)</f>
        <v>446808</v>
      </c>
      <c r="L68" s="1">
        <f>IF($B$3="Leiðsögumaður",Leiðsögn!K83,Ökuleiðsögn!K83)</f>
        <v>464388</v>
      </c>
      <c r="M68" s="1">
        <f>IF($B$3="Leiðsögumaður",Leiðsögn!L83,Ökuleiðsögn!L83)</f>
        <v>549720</v>
      </c>
      <c r="N68" s="1">
        <f>IF($B$3="Leiðsögumaður",Leiðsögn!M83,Ökuleiðsögn!M83)</f>
        <v>567300</v>
      </c>
      <c r="O68" s="1">
        <f>IF($B$3="Leiðsögumaður",Leiðsögn!N83,Ökuleiðsögn!N83)</f>
        <v>584880</v>
      </c>
      <c r="P68" s="1">
        <f>IF($B$3="Leiðsögumaður",Leiðsögn!O83,Ökuleiðsögn!O83)</f>
        <v>652632</v>
      </c>
      <c r="Q68" s="1">
        <f>IF($B$3="Leiðsögumaður",Leiðsögn!P83,Ökuleiðsögn!P83)</f>
        <v>670212</v>
      </c>
      <c r="R68" s="1">
        <f>IF($B$3="Leiðsögumaður",Leiðsögn!Q83,Ökuleiðsögn!Q83)</f>
        <v>687792</v>
      </c>
      <c r="S68" s="1">
        <f>IF($B$3="Leiðsögumaður",Leiðsögn!R83,Ökuleiðsögn!R83)</f>
        <v>790704</v>
      </c>
    </row>
    <row r="69" spans="1:19" x14ac:dyDescent="0.25">
      <c r="A69" s="4" t="s">
        <v>31</v>
      </c>
      <c r="C69" s="1">
        <f>IF($B$3="Leiðsögumaður",Leiðsögn!B84,Ökuleiðsögn!B84)</f>
        <v>105957</v>
      </c>
      <c r="D69" s="1">
        <f>IF($B$3="Leiðsögumaður",Leiðsögn!C84,Ökuleiðsögn!C84)</f>
        <v>124054.5</v>
      </c>
      <c r="E69" s="1">
        <f>IF($B$3="Leiðsögumaður",Leiðsögn!D84,Ökuleiðsögn!D84)</f>
        <v>142152</v>
      </c>
      <c r="F69" s="1">
        <f>IF($B$3="Leiðsögumaður",Leiðsögn!E84,Ökuleiðsögn!E84)</f>
        <v>211914</v>
      </c>
      <c r="G69" s="1">
        <f>IF($B$3="Leiðsögumaður",Leiðsögn!F84,Ökuleiðsögn!F84)</f>
        <v>230011.5</v>
      </c>
      <c r="H69" s="1">
        <f>IF($B$3="Leiðsögumaður",Leiðsögn!G84,Ökuleiðsögn!G84)</f>
        <v>248109</v>
      </c>
      <c r="I69" s="1">
        <f>IF($B$3="Leiðsögumaður",Leiðsögn!H84,Ökuleiðsögn!H84)</f>
        <v>335968.5</v>
      </c>
      <c r="J69" s="1">
        <f>IF($B$3="Leiðsögumaður",Leiðsögn!I84,Ökuleiðsögn!I84)</f>
        <v>354066</v>
      </c>
      <c r="K69" s="1">
        <f>IF($B$3="Leiðsögumaður",Leiðsögn!J84,Ökuleiðsögn!J84)</f>
        <v>460023</v>
      </c>
      <c r="L69" s="1">
        <f>IF($B$3="Leiðsögumaður",Leiðsögn!K84,Ökuleiðsögn!K84)</f>
        <v>478120.5</v>
      </c>
      <c r="M69" s="1">
        <f>IF($B$3="Leiðsögumaður",Leiðsögn!L84,Ökuleiðsögn!L84)</f>
        <v>565980</v>
      </c>
      <c r="N69" s="1">
        <f>IF($B$3="Leiðsögumaður",Leiðsögn!M84,Ökuleiðsögn!M84)</f>
        <v>584077.5</v>
      </c>
      <c r="O69" s="1">
        <f>IF($B$3="Leiðsögumaður",Leiðsögn!N84,Ökuleiðsögn!N84)</f>
        <v>602175</v>
      </c>
      <c r="P69" s="1">
        <f>IF($B$3="Leiðsögumaður",Leiðsögn!O84,Ökuleiðsögn!O84)</f>
        <v>671937</v>
      </c>
      <c r="Q69" s="1">
        <f>IF($B$3="Leiðsögumaður",Leiðsögn!P84,Ökuleiðsögn!P84)</f>
        <v>690034.5</v>
      </c>
      <c r="R69" s="1">
        <f>IF($B$3="Leiðsögumaður",Leiðsögn!Q84,Ökuleiðsögn!Q84)</f>
        <v>708132</v>
      </c>
      <c r="S69" s="1">
        <f>IF($B$3="Leiðsögumaður",Leiðsögn!R84,Ökuleiðsögn!R84)</f>
        <v>814089</v>
      </c>
    </row>
    <row r="70" spans="1:19" x14ac:dyDescent="0.25">
      <c r="A70" s="4" t="s">
        <v>32</v>
      </c>
      <c r="C70" s="1">
        <f>IF($B$3="Leiðsögumaður",Leiðsögn!B85,Ökuleiðsögn!B85)</f>
        <v>107406</v>
      </c>
      <c r="D70" s="1">
        <f>IF($B$3="Leiðsögumaður",Leiðsögn!C85,Ökuleiðsögn!C85)</f>
        <v>125751</v>
      </c>
      <c r="E70" s="1">
        <f>IF($B$3="Leiðsögumaður",Leiðsögn!D85,Ökuleiðsögn!D85)</f>
        <v>144096</v>
      </c>
      <c r="F70" s="1">
        <f>IF($B$3="Leiðsögumaður",Leiðsögn!E85,Ökuleiðsögn!E85)</f>
        <v>214812</v>
      </c>
      <c r="G70" s="1">
        <f>IF($B$3="Leiðsögumaður",Leiðsögn!F85,Ökuleiðsögn!F85)</f>
        <v>233157</v>
      </c>
      <c r="H70" s="1">
        <f>IF($B$3="Leiðsögumaður",Leiðsögn!G85,Ökuleiðsögn!G85)</f>
        <v>251502</v>
      </c>
      <c r="I70" s="1">
        <f>IF($B$3="Leiðsögumaður",Leiðsögn!H85,Ökuleiðsögn!H85)</f>
        <v>340563</v>
      </c>
      <c r="J70" s="1">
        <f>IF($B$3="Leiðsögumaður",Leiðsögn!I85,Ökuleiðsögn!I85)</f>
        <v>358908</v>
      </c>
      <c r="K70" s="1">
        <f>IF($B$3="Leiðsögumaður",Leiðsögn!J85,Ökuleiðsögn!J85)</f>
        <v>466314</v>
      </c>
      <c r="L70" s="1">
        <f>IF($B$3="Leiðsögumaður",Leiðsögn!K85,Ökuleiðsögn!K85)</f>
        <v>484659</v>
      </c>
      <c r="M70" s="1">
        <f>IF($B$3="Leiðsögumaður",Leiðsögn!L85,Ökuleiðsögn!L85)</f>
        <v>573720</v>
      </c>
      <c r="N70" s="1">
        <f>IF($B$3="Leiðsögumaður",Leiðsögn!M85,Ökuleiðsögn!M85)</f>
        <v>592065</v>
      </c>
      <c r="O70" s="1">
        <f>IF($B$3="Leiðsögumaður",Leiðsögn!N85,Ökuleiðsögn!N85)</f>
        <v>610410</v>
      </c>
      <c r="P70" s="1">
        <f>IF($B$3="Leiðsögumaður",Leiðsögn!O85,Ökuleiðsögn!O85)</f>
        <v>681126</v>
      </c>
      <c r="Q70" s="1">
        <f>IF($B$3="Leiðsögumaður",Leiðsögn!P85,Ökuleiðsögn!P85)</f>
        <v>699471</v>
      </c>
      <c r="R70" s="1">
        <f>IF($B$3="Leiðsögumaður",Leiðsögn!Q85,Ökuleiðsögn!Q85)</f>
        <v>717816</v>
      </c>
      <c r="S70" s="1">
        <f>IF($B$3="Leiðsögumaður",Leiðsögn!R85,Ökuleiðsögn!R85)</f>
        <v>825222</v>
      </c>
    </row>
    <row r="71" spans="1:19" x14ac:dyDescent="0.25">
      <c r="A71" s="4" t="s">
        <v>47</v>
      </c>
      <c r="C71" s="1">
        <f>IF($B$3="Leiðsögumaður",Leiðsögn!B86,Ökuleiðsögn!B86)</f>
        <v>1605</v>
      </c>
      <c r="D71" s="1">
        <f>IF($B$3="Leiðsögumaður",Leiðsögn!C86,Ökuleiðsögn!C86)</f>
        <v>802.5</v>
      </c>
      <c r="E71" s="1">
        <f>IF($B$3="Leiðsögumaður",Leiðsögn!D86,Ökuleiðsögn!D86)</f>
        <v>0</v>
      </c>
      <c r="F71" s="1">
        <f>IF($B$3="Leiðsögumaður",Leiðsögn!E86,Ökuleiðsögn!E86)</f>
        <v>3210</v>
      </c>
      <c r="G71" s="1">
        <f>IF($B$3="Leiðsögumaður",Leiðsögn!F86,Ökuleiðsögn!F86)</f>
        <v>2407.5</v>
      </c>
      <c r="H71" s="1">
        <f>IF($B$3="Leiðsögumaður",Leiðsögn!G86,Ökuleiðsögn!G86)</f>
        <v>1605</v>
      </c>
      <c r="I71" s="1">
        <f>IF($B$3="Leiðsögumaður",Leiðsögn!H86,Ökuleiðsögn!H86)</f>
        <v>4012.5</v>
      </c>
      <c r="J71" s="1">
        <f>IF($B$3="Leiðsögumaður",Leiðsögn!I86,Ökuleiðsögn!I86)</f>
        <v>3210</v>
      </c>
      <c r="K71" s="1">
        <f>IF($B$3="Leiðsögumaður",Leiðsögn!J86,Ökuleiðsögn!J86)</f>
        <v>4815</v>
      </c>
      <c r="L71" s="1">
        <f>IF($B$3="Leiðsögumaður",Leiðsögn!K86,Ökuleiðsögn!K86)</f>
        <v>4012.5</v>
      </c>
      <c r="M71" s="1">
        <f>IF($B$3="Leiðsögumaður",Leiðsögn!L86,Ökuleiðsögn!L86)</f>
        <v>6420</v>
      </c>
      <c r="N71" s="1">
        <f>IF($B$3="Leiðsögumaður",Leiðsögn!M86,Ökuleiðsögn!M86)</f>
        <v>5617.5</v>
      </c>
      <c r="O71" s="1">
        <f>IF($B$3="Leiðsögumaður",Leiðsögn!N86,Ökuleiðsögn!N86)</f>
        <v>4815</v>
      </c>
      <c r="P71" s="1">
        <f>IF($B$3="Leiðsögumaður",Leiðsögn!O86,Ökuleiðsögn!O86)</f>
        <v>8025</v>
      </c>
      <c r="Q71" s="1">
        <f>IF($B$3="Leiðsögumaður",Leiðsögn!P86,Ökuleiðsögn!P86)</f>
        <v>7222.5</v>
      </c>
      <c r="R71" s="1">
        <f>IF($B$3="Leiðsögumaður",Leiðsögn!Q86,Ökuleiðsögn!Q86)</f>
        <v>6420</v>
      </c>
      <c r="S71" s="1">
        <f>IF($B$3="Leiðsögumaður",Leiðsögn!R86,Ökuleiðsögn!R86)</f>
        <v>8025</v>
      </c>
    </row>
  </sheetData>
  <mergeCells count="1">
    <mergeCell ref="C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6"/>
  <sheetViews>
    <sheetView topLeftCell="D1" workbookViewId="0">
      <selection activeCell="O23" sqref="O23"/>
    </sheetView>
  </sheetViews>
  <sheetFormatPr defaultColWidth="11" defaultRowHeight="15" x14ac:dyDescent="0.25"/>
  <cols>
    <col min="1" max="1" width="21" customWidth="1"/>
    <col min="2" max="5" width="14.875" customWidth="1"/>
    <col min="6" max="6" width="35.125" customWidth="1"/>
    <col min="8" max="8" width="8.875" customWidth="1"/>
    <col min="9" max="9" width="18.25" customWidth="1"/>
  </cols>
  <sheetData>
    <row r="1" spans="1:27" x14ac:dyDescent="0.25">
      <c r="A1" s="7" t="s">
        <v>61</v>
      </c>
      <c r="B1" s="7">
        <f>Töflur!B2</f>
        <v>2026</v>
      </c>
    </row>
    <row r="2" spans="1:27" x14ac:dyDescent="0.25">
      <c r="A2" s="7" t="s">
        <v>2</v>
      </c>
      <c r="B2" s="7" t="str">
        <f>Töflur!B4</f>
        <v>Án orlofs</v>
      </c>
      <c r="C2" s="7">
        <f>VLOOKUP(B2,$Z$6:$AA$9,2,FALSE)</f>
        <v>0</v>
      </c>
    </row>
    <row r="5" spans="1:27" x14ac:dyDescent="0.25">
      <c r="A5" s="7" t="s">
        <v>1</v>
      </c>
      <c r="I5" s="7" t="s">
        <v>16</v>
      </c>
      <c r="R5" s="7" t="s">
        <v>47</v>
      </c>
      <c r="Z5" s="7" t="s">
        <v>2</v>
      </c>
    </row>
    <row r="6" spans="1:27" x14ac:dyDescent="0.25">
      <c r="B6" s="9" t="s">
        <v>16</v>
      </c>
      <c r="C6" s="9" t="s">
        <v>62</v>
      </c>
      <c r="D6" s="9" t="s">
        <v>63</v>
      </c>
      <c r="E6" s="9" t="s">
        <v>64</v>
      </c>
      <c r="F6" s="9" t="s">
        <v>65</v>
      </c>
      <c r="J6" s="10" t="s">
        <v>66</v>
      </c>
      <c r="K6" s="10">
        <v>2024</v>
      </c>
      <c r="L6" s="10">
        <v>2025</v>
      </c>
      <c r="M6" s="10" t="s">
        <v>10</v>
      </c>
      <c r="N6" s="10">
        <v>2026</v>
      </c>
      <c r="O6" s="26" t="s">
        <v>82</v>
      </c>
      <c r="P6" s="10">
        <v>2027</v>
      </c>
      <c r="R6" s="7" t="s">
        <v>66</v>
      </c>
      <c r="S6" s="7">
        <v>2024</v>
      </c>
      <c r="T6" s="7">
        <v>2025</v>
      </c>
      <c r="U6" s="7" t="s">
        <v>10</v>
      </c>
      <c r="V6" s="7">
        <v>2026</v>
      </c>
      <c r="W6" t="s">
        <v>82</v>
      </c>
      <c r="X6" s="7">
        <v>2027</v>
      </c>
      <c r="Z6" s="7" t="s">
        <v>5</v>
      </c>
      <c r="AA6" s="6">
        <v>0</v>
      </c>
    </row>
    <row r="7" spans="1:27" x14ac:dyDescent="0.25">
      <c r="A7" s="7" t="s">
        <v>22</v>
      </c>
      <c r="B7" s="1">
        <f>INDEX($J$7:$P$17,MATCH(A7,$I$7:$I$17,0),MATCH($B$1,$J$6:$P$6,0))</f>
        <v>526322.69999999995</v>
      </c>
      <c r="C7" s="1">
        <f t="shared" ref="C7:C17" si="0">ROUND(B7/162.5,0)</f>
        <v>3239</v>
      </c>
      <c r="D7" s="1">
        <f t="shared" ref="D7:D17" si="1">ROUND(B7*0.010385,0)</f>
        <v>5466</v>
      </c>
      <c r="E7" s="1">
        <f t="shared" ref="E7:E17" si="2">ROUND(B7*0.01375,0)</f>
        <v>7237</v>
      </c>
      <c r="F7" s="1">
        <f>+C7+HLOOKUP($B$1,$R$6:$X$7,2,FALSE)</f>
        <v>3346</v>
      </c>
      <c r="I7" s="19" t="s">
        <v>22</v>
      </c>
      <c r="J7" s="1">
        <v>444671</v>
      </c>
      <c r="K7" s="1">
        <v>470927</v>
      </c>
      <c r="L7" s="1">
        <v>497183</v>
      </c>
      <c r="M7" s="1">
        <v>500066.66140000004</v>
      </c>
      <c r="N7" s="1">
        <v>526322.69999999995</v>
      </c>
      <c r="O7" s="27">
        <v>526638.45499683998</v>
      </c>
      <c r="P7" s="1">
        <v>551877.43099999998</v>
      </c>
      <c r="R7" s="18">
        <v>95</v>
      </c>
      <c r="S7" s="7">
        <v>99</v>
      </c>
      <c r="T7" s="7">
        <v>103</v>
      </c>
      <c r="U7" s="7">
        <v>103</v>
      </c>
      <c r="V7" s="1">
        <v>107</v>
      </c>
      <c r="W7" s="1">
        <v>107</v>
      </c>
      <c r="X7" s="7">
        <v>110</v>
      </c>
      <c r="Z7" s="7" t="s">
        <v>8</v>
      </c>
      <c r="AA7" s="8">
        <v>0.1017</v>
      </c>
    </row>
    <row r="8" spans="1:27" x14ac:dyDescent="0.25">
      <c r="A8" s="7" t="s">
        <v>23</v>
      </c>
      <c r="B8" s="1">
        <f>INDEX($J$7:$P$17,MATCH(A8,$I$7:$I$17,0),MATCH($B$1,$J$6:$P$6,0))</f>
        <v>526322.69999999995</v>
      </c>
      <c r="C8" s="1">
        <f t="shared" si="0"/>
        <v>3239</v>
      </c>
      <c r="D8" s="1">
        <f t="shared" si="1"/>
        <v>5466</v>
      </c>
      <c r="E8" s="1">
        <f t="shared" si="2"/>
        <v>7237</v>
      </c>
      <c r="F8" s="1">
        <f>+C8+HLOOKUP($B$1,$R$6:$X$7,2,FALSE)</f>
        <v>3346</v>
      </c>
      <c r="I8" s="19" t="s">
        <v>23</v>
      </c>
      <c r="J8" s="1">
        <v>444671</v>
      </c>
      <c r="K8" s="1">
        <v>470927</v>
      </c>
      <c r="L8" s="1">
        <v>497183</v>
      </c>
      <c r="M8" s="1">
        <v>500066.66140000004</v>
      </c>
      <c r="N8" s="1">
        <v>526322.69999999995</v>
      </c>
      <c r="O8" s="27">
        <v>526638.45499683998</v>
      </c>
      <c r="P8" s="1">
        <v>551877.43099999998</v>
      </c>
      <c r="Z8" s="7" t="s">
        <v>11</v>
      </c>
      <c r="AA8" s="8">
        <v>0.1159</v>
      </c>
    </row>
    <row r="9" spans="1:27" x14ac:dyDescent="0.25">
      <c r="A9" s="7" t="s">
        <v>24</v>
      </c>
      <c r="B9" s="1">
        <f>INDEX($J$7:$P$17,MATCH(A9,$I$7:$I$17,0),MATCH($B$1,$J$6:$P$6,0))</f>
        <v>528767.19999999995</v>
      </c>
      <c r="C9" s="1">
        <f t="shared" si="0"/>
        <v>3254</v>
      </c>
      <c r="D9" s="1">
        <f t="shared" si="1"/>
        <v>5491</v>
      </c>
      <c r="E9" s="1">
        <f t="shared" si="2"/>
        <v>7271</v>
      </c>
      <c r="F9" s="1">
        <f>+C9+HLOOKUP($B$1,$R$6:$X$7,2,FALSE)</f>
        <v>3361</v>
      </c>
      <c r="I9" s="19" t="s">
        <v>24</v>
      </c>
      <c r="J9" s="1">
        <v>454605</v>
      </c>
      <c r="K9" s="1">
        <v>478355</v>
      </c>
      <c r="L9" s="1">
        <v>502105</v>
      </c>
      <c r="M9" s="1">
        <v>505017.20900000003</v>
      </c>
      <c r="N9" s="1">
        <v>528767.19999999995</v>
      </c>
      <c r="O9" s="27">
        <v>529084.46932540007</v>
      </c>
      <c r="P9" s="1">
        <v>554301.40899999999</v>
      </c>
      <c r="Z9" s="7" t="s">
        <v>14</v>
      </c>
      <c r="AA9" s="8">
        <v>0.13039999999999999</v>
      </c>
    </row>
    <row r="10" spans="1:27" x14ac:dyDescent="0.25">
      <c r="A10" s="7" t="s">
        <v>25</v>
      </c>
      <c r="B10" s="1">
        <f>INDEX($J$7:$P$17,MATCH(A10,$I$7:$I$17,0),MATCH($B$1,$J$6:$P$6,0))</f>
        <v>529155.4</v>
      </c>
      <c r="C10" s="1">
        <f t="shared" si="0"/>
        <v>3256</v>
      </c>
      <c r="D10" s="1">
        <f t="shared" si="1"/>
        <v>5495</v>
      </c>
      <c r="E10" s="1">
        <f t="shared" si="2"/>
        <v>7276</v>
      </c>
      <c r="F10" s="1">
        <f>+C10+HLOOKUP($B$1,$R$6:$X$7,2,FALSE)</f>
        <v>3363</v>
      </c>
      <c r="I10" s="19" t="s">
        <v>25</v>
      </c>
      <c r="J10" s="1">
        <v>450618</v>
      </c>
      <c r="K10" s="1">
        <v>476225</v>
      </c>
      <c r="L10" s="1">
        <v>501276</v>
      </c>
      <c r="M10" s="1">
        <v>504183.4008</v>
      </c>
      <c r="N10" s="1">
        <v>529155.4</v>
      </c>
      <c r="O10" s="27">
        <v>529472.89404047991</v>
      </c>
      <c r="P10" s="1">
        <v>554844.54099999985</v>
      </c>
    </row>
    <row r="11" spans="1:27" x14ac:dyDescent="0.25">
      <c r="A11" s="7" t="s">
        <v>26</v>
      </c>
      <c r="B11" s="1">
        <f>INDEX($J$7:$P$17,MATCH(A11,$I$7:$I$17,0),MATCH($B$1,$J$6:$P$6,0))</f>
        <v>540845.9</v>
      </c>
      <c r="C11" s="1">
        <f t="shared" si="0"/>
        <v>3328</v>
      </c>
      <c r="D11" s="1">
        <f t="shared" si="1"/>
        <v>5617</v>
      </c>
      <c r="E11" s="1">
        <f t="shared" si="2"/>
        <v>7437</v>
      </c>
      <c r="F11" s="1">
        <f>+C11+HLOOKUP($B$1,$R$6:$X$7,2,FALSE)</f>
        <v>3435</v>
      </c>
      <c r="I11" s="19" t="s">
        <v>26</v>
      </c>
      <c r="J11" s="1">
        <v>466614</v>
      </c>
      <c r="K11" s="1">
        <v>490364</v>
      </c>
      <c r="L11" s="1">
        <v>514114</v>
      </c>
      <c r="M11" s="1">
        <v>517095.86120000004</v>
      </c>
      <c r="N11" s="1">
        <v>540845.9</v>
      </c>
      <c r="O11" s="27">
        <v>541170.36871671991</v>
      </c>
      <c r="P11" s="1">
        <v>564871.36120000016</v>
      </c>
    </row>
    <row r="12" spans="1:27" x14ac:dyDescent="0.25">
      <c r="A12" s="7" t="s">
        <v>27</v>
      </c>
      <c r="B12" s="1">
        <f>INDEX($J$7:$P$17,MATCH(A12,$I$7:$I$17,0),MATCH($B$1,$J$6:$P$6,0))</f>
        <v>556793.80000000005</v>
      </c>
      <c r="C12" s="1">
        <f t="shared" si="0"/>
        <v>3426</v>
      </c>
      <c r="D12" s="1">
        <f t="shared" si="1"/>
        <v>5782</v>
      </c>
      <c r="E12" s="1">
        <f t="shared" si="2"/>
        <v>7656</v>
      </c>
      <c r="F12" s="1">
        <f>+C12+HLOOKUP($B$1,$R$6:$X$7,2,FALSE)</f>
        <v>3533</v>
      </c>
      <c r="I12" s="19" t="s">
        <v>27</v>
      </c>
      <c r="J12" s="1">
        <v>482470</v>
      </c>
      <c r="K12" s="1">
        <v>506220</v>
      </c>
      <c r="L12" s="1">
        <v>529970</v>
      </c>
      <c r="M12" s="1">
        <v>533043.826</v>
      </c>
      <c r="N12" s="1">
        <v>556793.80000000005</v>
      </c>
      <c r="O12" s="27">
        <v>557127.90229560004</v>
      </c>
      <c r="P12" s="1">
        <v>580819.326</v>
      </c>
    </row>
    <row r="13" spans="1:27" x14ac:dyDescent="0.25">
      <c r="A13" s="7" t="s">
        <v>28</v>
      </c>
      <c r="B13" s="1">
        <f>INDEX($J$7:$P$17,MATCH(A13,$I$7:$I$17,0),MATCH($B$1,$J$6:$P$6,0))</f>
        <v>560438.80000000005</v>
      </c>
      <c r="C13" s="1">
        <f t="shared" si="0"/>
        <v>3449</v>
      </c>
      <c r="D13" s="1">
        <f t="shared" si="1"/>
        <v>5820</v>
      </c>
      <c r="E13" s="1">
        <f t="shared" si="2"/>
        <v>7706</v>
      </c>
      <c r="F13" s="1">
        <f>+C13+HLOOKUP($B$1,$R$6:$X$7,2,FALSE)</f>
        <v>3556</v>
      </c>
      <c r="I13" s="19" t="s">
        <v>28</v>
      </c>
      <c r="J13" s="1">
        <v>486094</v>
      </c>
      <c r="K13" s="1">
        <v>509844</v>
      </c>
      <c r="L13" s="1">
        <v>533594</v>
      </c>
      <c r="M13" s="1">
        <v>536688.84519999998</v>
      </c>
      <c r="N13" s="1">
        <v>560438.80000000005</v>
      </c>
      <c r="O13" s="27">
        <v>560775.10850711993</v>
      </c>
      <c r="P13" s="1">
        <v>584464.34519999998</v>
      </c>
    </row>
    <row r="14" spans="1:27" x14ac:dyDescent="0.25">
      <c r="A14" s="7" t="s">
        <v>29</v>
      </c>
      <c r="B14" s="1">
        <f>INDEX($J$7:$P$17,MATCH(A14,$I$7:$I$17,0),MATCH($B$1,$J$6:$P$6,0))</f>
        <v>533107.19999999995</v>
      </c>
      <c r="C14" s="1">
        <f t="shared" si="0"/>
        <v>3281</v>
      </c>
      <c r="D14" s="1">
        <f t="shared" si="1"/>
        <v>5536</v>
      </c>
      <c r="E14" s="1">
        <f t="shared" si="2"/>
        <v>7330</v>
      </c>
      <c r="F14" s="1">
        <f>+C14+HLOOKUP($B$1,$R$6:$X$7,2,FALSE)</f>
        <v>3388</v>
      </c>
      <c r="I14" s="19" t="s">
        <v>29</v>
      </c>
      <c r="J14" s="1">
        <v>458920</v>
      </c>
      <c r="K14" s="1">
        <v>482670</v>
      </c>
      <c r="L14" s="1">
        <v>506420</v>
      </c>
      <c r="M14" s="1">
        <v>509357.23600000003</v>
      </c>
      <c r="N14" s="1">
        <v>533107.19999999995</v>
      </c>
      <c r="O14" s="27">
        <v>533427.10034160002</v>
      </c>
      <c r="P14" s="1">
        <v>557132.73600000003</v>
      </c>
    </row>
    <row r="15" spans="1:27" x14ac:dyDescent="0.25">
      <c r="A15" s="7" t="s">
        <v>30</v>
      </c>
      <c r="B15" s="1">
        <f>INDEX($J$7:$P$17,MATCH(A15,$I$7:$I$17,0),MATCH($B$1,$J$6:$P$6,0))</f>
        <v>553969.5</v>
      </c>
      <c r="C15" s="1">
        <f t="shared" si="0"/>
        <v>3409</v>
      </c>
      <c r="D15" s="1">
        <f t="shared" si="1"/>
        <v>5753</v>
      </c>
      <c r="E15" s="1">
        <f t="shared" si="2"/>
        <v>7617</v>
      </c>
      <c r="F15" s="1">
        <f>+C15+HLOOKUP($B$1,$R$6:$X$7,2,FALSE)</f>
        <v>3516</v>
      </c>
      <c r="I15" s="19" t="s">
        <v>30</v>
      </c>
      <c r="J15" s="1">
        <v>479662</v>
      </c>
      <c r="K15" s="1">
        <v>503412</v>
      </c>
      <c r="L15" s="1">
        <v>527162</v>
      </c>
      <c r="M15" s="1">
        <v>530219.53960000002</v>
      </c>
      <c r="N15" s="1">
        <v>553969.5</v>
      </c>
      <c r="O15" s="27">
        <v>554301.92132376006</v>
      </c>
      <c r="P15" s="1">
        <v>577995.03960000002</v>
      </c>
    </row>
    <row r="16" spans="1:27" x14ac:dyDescent="0.25">
      <c r="A16" s="7" t="s">
        <v>31</v>
      </c>
      <c r="B16" s="1">
        <f>INDEX($J$7:$P$17,MATCH(A16,$I$7:$I$17,0),MATCH($B$1,$J$6:$P$6,0))</f>
        <v>570363.1</v>
      </c>
      <c r="C16" s="1">
        <f t="shared" si="0"/>
        <v>3510</v>
      </c>
      <c r="D16" s="1">
        <f t="shared" si="1"/>
        <v>5923</v>
      </c>
      <c r="E16" s="1">
        <f t="shared" si="2"/>
        <v>7842</v>
      </c>
      <c r="F16" s="1">
        <f>+C16+HLOOKUP($B$1,$R$6:$X$7,2,FALSE)</f>
        <v>3617</v>
      </c>
      <c r="I16" s="19" t="s">
        <v>31</v>
      </c>
      <c r="J16" s="1">
        <v>495961</v>
      </c>
      <c r="K16" s="1">
        <v>519711</v>
      </c>
      <c r="L16" s="1">
        <v>543461</v>
      </c>
      <c r="M16" s="1">
        <v>546613.07380000001</v>
      </c>
      <c r="N16" s="1">
        <v>570363.1</v>
      </c>
      <c r="O16" s="27">
        <v>570705.29164427996</v>
      </c>
      <c r="P16" s="1">
        <v>594388.57380000001</v>
      </c>
    </row>
    <row r="17" spans="1:16" x14ac:dyDescent="0.25">
      <c r="A17" s="7" t="s">
        <v>32</v>
      </c>
      <c r="B17" s="1">
        <f>INDEX($J$7:$P$17,MATCH(A17,$I$7:$I$17,0),MATCH($B$1,$J$6:$P$6,0))</f>
        <v>578124.19999999995</v>
      </c>
      <c r="C17" s="1">
        <f t="shared" si="0"/>
        <v>3558</v>
      </c>
      <c r="D17" s="1">
        <f t="shared" si="1"/>
        <v>6004</v>
      </c>
      <c r="E17" s="1">
        <f t="shared" si="2"/>
        <v>7949</v>
      </c>
      <c r="F17" s="1">
        <f>+C17+HLOOKUP($B$1,$R$6:$X$7,2,FALSE)</f>
        <v>3665</v>
      </c>
      <c r="I17" s="19" t="s">
        <v>32</v>
      </c>
      <c r="J17" s="1">
        <v>499686</v>
      </c>
      <c r="K17" s="1">
        <v>524436</v>
      </c>
      <c r="L17" s="1">
        <v>549686</v>
      </c>
      <c r="M17" s="1">
        <v>552874.17879999999</v>
      </c>
      <c r="N17" s="1">
        <v>578124.19999999995</v>
      </c>
      <c r="O17" s="27">
        <v>578471.05330727994</v>
      </c>
      <c r="P17" s="1">
        <v>603667.07880000002</v>
      </c>
    </row>
    <row r="20" spans="1:16" x14ac:dyDescent="0.25">
      <c r="A20" s="7" t="s">
        <v>67</v>
      </c>
    </row>
    <row r="21" spans="1:16" x14ac:dyDescent="0.25">
      <c r="B21" s="9" t="s">
        <v>16</v>
      </c>
      <c r="C21" s="9" t="s">
        <v>62</v>
      </c>
      <c r="D21" s="9" t="s">
        <v>63</v>
      </c>
      <c r="E21" s="9" t="s">
        <v>64</v>
      </c>
      <c r="F21" s="9" t="s">
        <v>65</v>
      </c>
    </row>
    <row r="22" spans="1:16" x14ac:dyDescent="0.25">
      <c r="A22" s="7" t="s">
        <v>22</v>
      </c>
      <c r="B22" s="1">
        <f t="shared" ref="B22:B32" si="3">B7*(1+$C$2)</f>
        <v>526322.69999999995</v>
      </c>
      <c r="C22" s="1">
        <f t="shared" ref="C22:C32" si="4">ROUND(B22/162.5,0)</f>
        <v>3239</v>
      </c>
      <c r="D22" s="1">
        <f t="shared" ref="D22:D32" si="5">ROUND(B22*0.010385,0)</f>
        <v>5466</v>
      </c>
      <c r="E22" s="1">
        <f t="shared" ref="E22:E32" si="6">ROUND(B22*0.01375,0)</f>
        <v>7237</v>
      </c>
      <c r="F22" s="1">
        <f>+C22+HLOOKUP($B$1,$R$6:$X$7,2,FALSE)</f>
        <v>3346</v>
      </c>
    </row>
    <row r="23" spans="1:16" x14ac:dyDescent="0.25">
      <c r="A23" s="7" t="s">
        <v>23</v>
      </c>
      <c r="B23" s="1">
        <f t="shared" si="3"/>
        <v>526322.69999999995</v>
      </c>
      <c r="C23" s="1">
        <f t="shared" si="4"/>
        <v>3239</v>
      </c>
      <c r="D23" s="1">
        <f t="shared" si="5"/>
        <v>5466</v>
      </c>
      <c r="E23" s="1">
        <f t="shared" si="6"/>
        <v>7237</v>
      </c>
      <c r="F23" s="1">
        <f>+C23+HLOOKUP($B$1,$R$6:$X$7,2,FALSE)</f>
        <v>3346</v>
      </c>
    </row>
    <row r="24" spans="1:16" x14ac:dyDescent="0.25">
      <c r="A24" s="7" t="s">
        <v>24</v>
      </c>
      <c r="B24" s="1">
        <f t="shared" si="3"/>
        <v>528767.19999999995</v>
      </c>
      <c r="C24" s="1">
        <f t="shared" si="4"/>
        <v>3254</v>
      </c>
      <c r="D24" s="1">
        <f t="shared" si="5"/>
        <v>5491</v>
      </c>
      <c r="E24" s="1">
        <f t="shared" si="6"/>
        <v>7271</v>
      </c>
      <c r="F24" s="1">
        <f>+C24+HLOOKUP($B$1,$R$6:$X$7,2,FALSE)</f>
        <v>3361</v>
      </c>
    </row>
    <row r="25" spans="1:16" x14ac:dyDescent="0.25">
      <c r="A25" s="7" t="s">
        <v>25</v>
      </c>
      <c r="B25" s="1">
        <f t="shared" si="3"/>
        <v>529155.4</v>
      </c>
      <c r="C25" s="1">
        <f t="shared" si="4"/>
        <v>3256</v>
      </c>
      <c r="D25" s="1">
        <f t="shared" si="5"/>
        <v>5495</v>
      </c>
      <c r="E25" s="1">
        <f t="shared" si="6"/>
        <v>7276</v>
      </c>
      <c r="F25" s="1">
        <f>+C25+HLOOKUP($B$1,$R$6:$X$7,2,FALSE)</f>
        <v>3363</v>
      </c>
    </row>
    <row r="26" spans="1:16" x14ac:dyDescent="0.25">
      <c r="A26" s="7" t="s">
        <v>26</v>
      </c>
      <c r="B26" s="1">
        <f t="shared" si="3"/>
        <v>540845.9</v>
      </c>
      <c r="C26" s="1">
        <f t="shared" si="4"/>
        <v>3328</v>
      </c>
      <c r="D26" s="1">
        <f t="shared" si="5"/>
        <v>5617</v>
      </c>
      <c r="E26" s="1">
        <f t="shared" si="6"/>
        <v>7437</v>
      </c>
      <c r="F26" s="1">
        <f>+C26+HLOOKUP($B$1,$R$6:$X$7,2,FALSE)</f>
        <v>3435</v>
      </c>
    </row>
    <row r="27" spans="1:16" x14ac:dyDescent="0.25">
      <c r="A27" s="7" t="s">
        <v>27</v>
      </c>
      <c r="B27" s="1">
        <f t="shared" si="3"/>
        <v>556793.80000000005</v>
      </c>
      <c r="C27" s="1">
        <f t="shared" si="4"/>
        <v>3426</v>
      </c>
      <c r="D27" s="1">
        <f t="shared" si="5"/>
        <v>5782</v>
      </c>
      <c r="E27" s="1">
        <f t="shared" si="6"/>
        <v>7656</v>
      </c>
      <c r="F27" s="1">
        <f>+C27+HLOOKUP($B$1,$R$6:$X$7,2,FALSE)</f>
        <v>3533</v>
      </c>
    </row>
    <row r="28" spans="1:16" x14ac:dyDescent="0.25">
      <c r="A28" s="7" t="s">
        <v>28</v>
      </c>
      <c r="B28" s="1">
        <f t="shared" si="3"/>
        <v>560438.80000000005</v>
      </c>
      <c r="C28" s="1">
        <f t="shared" si="4"/>
        <v>3449</v>
      </c>
      <c r="D28" s="1">
        <f t="shared" si="5"/>
        <v>5820</v>
      </c>
      <c r="E28" s="1">
        <f t="shared" si="6"/>
        <v>7706</v>
      </c>
      <c r="F28" s="1">
        <f>+C28+HLOOKUP($B$1,$R$6:$X$7,2,FALSE)</f>
        <v>3556</v>
      </c>
    </row>
    <row r="29" spans="1:16" x14ac:dyDescent="0.25">
      <c r="A29" s="7" t="s">
        <v>29</v>
      </c>
      <c r="B29" s="1">
        <f t="shared" si="3"/>
        <v>533107.19999999995</v>
      </c>
      <c r="C29" s="1">
        <f t="shared" si="4"/>
        <v>3281</v>
      </c>
      <c r="D29" s="1">
        <f t="shared" si="5"/>
        <v>5536</v>
      </c>
      <c r="E29" s="1">
        <f t="shared" si="6"/>
        <v>7330</v>
      </c>
      <c r="F29" s="1">
        <f>+C29+HLOOKUP($B$1,$R$6:$X$7,2,FALSE)</f>
        <v>3388</v>
      </c>
    </row>
    <row r="30" spans="1:16" x14ac:dyDescent="0.25">
      <c r="A30" s="7" t="s">
        <v>30</v>
      </c>
      <c r="B30" s="1">
        <f t="shared" si="3"/>
        <v>553969.5</v>
      </c>
      <c r="C30" s="1">
        <f t="shared" si="4"/>
        <v>3409</v>
      </c>
      <c r="D30" s="1">
        <f t="shared" si="5"/>
        <v>5753</v>
      </c>
      <c r="E30" s="1">
        <f t="shared" si="6"/>
        <v>7617</v>
      </c>
      <c r="F30" s="1">
        <f>+C30+HLOOKUP($B$1,$R$6:$X$7,2,FALSE)</f>
        <v>3516</v>
      </c>
    </row>
    <row r="31" spans="1:16" x14ac:dyDescent="0.25">
      <c r="A31" s="7" t="s">
        <v>31</v>
      </c>
      <c r="B31" s="1">
        <f t="shared" si="3"/>
        <v>570363.1</v>
      </c>
      <c r="C31" s="1">
        <f t="shared" si="4"/>
        <v>3510</v>
      </c>
      <c r="D31" s="1">
        <f t="shared" si="5"/>
        <v>5923</v>
      </c>
      <c r="E31" s="1">
        <f t="shared" si="6"/>
        <v>7842</v>
      </c>
      <c r="F31" s="1">
        <f>+C31+HLOOKUP($B$1,$R$6:$X$7,2,FALSE)</f>
        <v>3617</v>
      </c>
    </row>
    <row r="32" spans="1:16" x14ac:dyDescent="0.25">
      <c r="A32" s="7" t="s">
        <v>32</v>
      </c>
      <c r="B32" s="1">
        <f t="shared" si="3"/>
        <v>578124.19999999995</v>
      </c>
      <c r="C32" s="1">
        <f t="shared" si="4"/>
        <v>3558</v>
      </c>
      <c r="D32" s="1">
        <f t="shared" si="5"/>
        <v>6004</v>
      </c>
      <c r="E32" s="1">
        <f t="shared" si="6"/>
        <v>7949</v>
      </c>
      <c r="F32" s="1">
        <f>+C32+HLOOKUP($B$1,$R$6:$X$7,2,FALSE)</f>
        <v>3665</v>
      </c>
    </row>
    <row r="35" spans="1:21" x14ac:dyDescent="0.25">
      <c r="A35" s="21" t="s">
        <v>33</v>
      </c>
    </row>
    <row r="36" spans="1:21" x14ac:dyDescent="0.25">
      <c r="C36" s="20" t="s">
        <v>68</v>
      </c>
      <c r="D36" s="3" t="s">
        <v>69</v>
      </c>
      <c r="E36" s="3" t="s">
        <v>70</v>
      </c>
      <c r="F36" s="3" t="s">
        <v>37</v>
      </c>
      <c r="G36" s="3" t="s">
        <v>37</v>
      </c>
      <c r="H36" s="3" t="s">
        <v>38</v>
      </c>
      <c r="I36" s="3" t="s">
        <v>38</v>
      </c>
      <c r="J36" s="3" t="s">
        <v>39</v>
      </c>
      <c r="K36" s="3" t="s">
        <v>39</v>
      </c>
      <c r="L36" s="3" t="s">
        <v>40</v>
      </c>
      <c r="M36" s="3" t="s">
        <v>40</v>
      </c>
      <c r="N36" s="3" t="s">
        <v>41</v>
      </c>
      <c r="O36" s="3" t="s">
        <v>41</v>
      </c>
      <c r="P36" s="3" t="s">
        <v>42</v>
      </c>
      <c r="Q36" s="3" t="s">
        <v>42</v>
      </c>
      <c r="R36" s="3" t="s">
        <v>43</v>
      </c>
      <c r="S36" s="3" t="s">
        <v>43</v>
      </c>
      <c r="T36" s="3" t="s">
        <v>44</v>
      </c>
      <c r="U36" s="3" t="s">
        <v>44</v>
      </c>
    </row>
    <row r="37" spans="1:21" x14ac:dyDescent="0.25">
      <c r="B37" s="3" t="s">
        <v>17</v>
      </c>
      <c r="C37" s="3" t="s">
        <v>18</v>
      </c>
      <c r="D37" s="3" t="s">
        <v>45</v>
      </c>
      <c r="E37" s="3" t="s">
        <v>46</v>
      </c>
      <c r="F37" s="3" t="s">
        <v>45</v>
      </c>
      <c r="G37" s="3" t="s">
        <v>46</v>
      </c>
      <c r="H37" s="3" t="s">
        <v>45</v>
      </c>
      <c r="I37" s="3" t="s">
        <v>46</v>
      </c>
      <c r="J37" s="3" t="s">
        <v>45</v>
      </c>
      <c r="K37" s="3" t="s">
        <v>46</v>
      </c>
      <c r="L37" s="3" t="s">
        <v>45</v>
      </c>
      <c r="M37" s="3" t="s">
        <v>46</v>
      </c>
      <c r="N37" s="3" t="s">
        <v>45</v>
      </c>
      <c r="O37" s="3" t="s">
        <v>46</v>
      </c>
      <c r="P37" s="3" t="s">
        <v>45</v>
      </c>
      <c r="Q37" s="3" t="s">
        <v>46</v>
      </c>
      <c r="R37" s="3" t="s">
        <v>45</v>
      </c>
      <c r="S37" s="3" t="s">
        <v>46</v>
      </c>
      <c r="T37" s="3" t="s">
        <v>45</v>
      </c>
      <c r="U37" s="3" t="s">
        <v>46</v>
      </c>
    </row>
    <row r="38" spans="1:21" x14ac:dyDescent="0.25">
      <c r="A38" s="4" t="s">
        <v>22</v>
      </c>
      <c r="B38" s="16">
        <f t="shared" ref="B38:C48" si="7">C22</f>
        <v>3239</v>
      </c>
      <c r="C38" s="16">
        <f t="shared" si="7"/>
        <v>5466</v>
      </c>
      <c r="D38" s="16">
        <f t="shared" ref="D38:D48" si="8">D$51*($B38)</f>
        <v>12956</v>
      </c>
      <c r="E38" s="16">
        <f t="shared" ref="E38:E48" si="9">E$51*($C38)</f>
        <v>21864</v>
      </c>
      <c r="F38" s="16">
        <f t="shared" ref="F38:F48" si="10">F$51*($B38)</f>
        <v>16195</v>
      </c>
      <c r="G38" s="16">
        <f t="shared" ref="G38:G48" si="11">G$51*($C38)</f>
        <v>27330</v>
      </c>
      <c r="H38" s="16">
        <f t="shared" ref="H38:H48" si="12">H$51*($B38)</f>
        <v>19434</v>
      </c>
      <c r="I38" s="16">
        <f t="shared" ref="I38:I48" si="13">I$51*($C38)</f>
        <v>32796</v>
      </c>
      <c r="J38" s="16">
        <f t="shared" ref="J38:J48" si="14">J$51*($B38)</f>
        <v>22673</v>
      </c>
      <c r="K38" s="16">
        <f t="shared" ref="K38:K48" si="15">K$51*($C38)</f>
        <v>38262</v>
      </c>
      <c r="L38" s="16">
        <f t="shared" ref="L38:L48" si="16">MIN(L$51,7.5)*$B38+(L$51-7.5)*$C38</f>
        <v>27025.5</v>
      </c>
      <c r="M38" s="16">
        <f t="shared" ref="M38:M48" si="17">M$51*($C38)</f>
        <v>43728</v>
      </c>
      <c r="N38" s="16">
        <f t="shared" ref="N38:N48" si="18">MIN(N$51,7.5)*$B38+(N$51-7.5)*$C38</f>
        <v>32491.5</v>
      </c>
      <c r="O38" s="16">
        <f t="shared" ref="O38:O48" si="19">O$51*($C38)</f>
        <v>49194</v>
      </c>
      <c r="P38" s="16">
        <f t="shared" ref="P38:P48" si="20">MIN(P$51,7.5)*$B38+(P$51-7.5)*$C38</f>
        <v>37957.5</v>
      </c>
      <c r="Q38" s="16">
        <f t="shared" ref="Q38:Q48" si="21">Q$51*($C38)</f>
        <v>54660</v>
      </c>
      <c r="R38" s="16">
        <f t="shared" ref="R38:R48" si="22">MIN(R$51,7.5)*$B38+(R$51-7.5)*$C38</f>
        <v>43423.5</v>
      </c>
      <c r="S38" s="16">
        <f t="shared" ref="S38:S48" si="23">S$51*($C38)</f>
        <v>60126</v>
      </c>
      <c r="T38" s="16">
        <f t="shared" ref="T38:T48" si="24">MIN(T$51,7.5)*$B38+(T$51-7.5)*$C38</f>
        <v>48889.5</v>
      </c>
      <c r="U38" s="16">
        <f t="shared" ref="U38:U48" si="25">U$51*($C38)</f>
        <v>65592</v>
      </c>
    </row>
    <row r="39" spans="1:21" x14ac:dyDescent="0.25">
      <c r="A39" s="4" t="s">
        <v>23</v>
      </c>
      <c r="B39" s="16">
        <f t="shared" si="7"/>
        <v>3239</v>
      </c>
      <c r="C39" s="16">
        <f t="shared" si="7"/>
        <v>5466</v>
      </c>
      <c r="D39" s="16">
        <f t="shared" si="8"/>
        <v>12956</v>
      </c>
      <c r="E39" s="16">
        <f t="shared" si="9"/>
        <v>21864</v>
      </c>
      <c r="F39" s="16">
        <f t="shared" si="10"/>
        <v>16195</v>
      </c>
      <c r="G39" s="16">
        <f t="shared" si="11"/>
        <v>27330</v>
      </c>
      <c r="H39" s="16">
        <f t="shared" si="12"/>
        <v>19434</v>
      </c>
      <c r="I39" s="16">
        <f t="shared" si="13"/>
        <v>32796</v>
      </c>
      <c r="J39" s="16">
        <f t="shared" si="14"/>
        <v>22673</v>
      </c>
      <c r="K39" s="16">
        <f t="shared" si="15"/>
        <v>38262</v>
      </c>
      <c r="L39" s="16">
        <f t="shared" si="16"/>
        <v>27025.5</v>
      </c>
      <c r="M39" s="16">
        <f t="shared" si="17"/>
        <v>43728</v>
      </c>
      <c r="N39" s="16">
        <f t="shared" si="18"/>
        <v>32491.5</v>
      </c>
      <c r="O39" s="16">
        <f t="shared" si="19"/>
        <v>49194</v>
      </c>
      <c r="P39" s="16">
        <f t="shared" si="20"/>
        <v>37957.5</v>
      </c>
      <c r="Q39" s="16">
        <f t="shared" si="21"/>
        <v>54660</v>
      </c>
      <c r="R39" s="16">
        <f t="shared" si="22"/>
        <v>43423.5</v>
      </c>
      <c r="S39" s="16">
        <f t="shared" si="23"/>
        <v>60126</v>
      </c>
      <c r="T39" s="16">
        <f t="shared" si="24"/>
        <v>48889.5</v>
      </c>
      <c r="U39" s="16">
        <f t="shared" si="25"/>
        <v>65592</v>
      </c>
    </row>
    <row r="40" spans="1:21" x14ac:dyDescent="0.25">
      <c r="A40" s="4" t="s">
        <v>24</v>
      </c>
      <c r="B40" s="16">
        <f t="shared" si="7"/>
        <v>3254</v>
      </c>
      <c r="C40" s="16">
        <f t="shared" si="7"/>
        <v>5491</v>
      </c>
      <c r="D40" s="16">
        <f t="shared" si="8"/>
        <v>13016</v>
      </c>
      <c r="E40" s="16">
        <f t="shared" si="9"/>
        <v>21964</v>
      </c>
      <c r="F40" s="16">
        <f t="shared" si="10"/>
        <v>16270</v>
      </c>
      <c r="G40" s="16">
        <f t="shared" si="11"/>
        <v>27455</v>
      </c>
      <c r="H40" s="16">
        <f t="shared" si="12"/>
        <v>19524</v>
      </c>
      <c r="I40" s="16">
        <f t="shared" si="13"/>
        <v>32946</v>
      </c>
      <c r="J40" s="16">
        <f t="shared" si="14"/>
        <v>22778</v>
      </c>
      <c r="K40" s="16">
        <f t="shared" si="15"/>
        <v>38437</v>
      </c>
      <c r="L40" s="16">
        <f t="shared" si="16"/>
        <v>27150.5</v>
      </c>
      <c r="M40" s="16">
        <f t="shared" si="17"/>
        <v>43928</v>
      </c>
      <c r="N40" s="16">
        <f t="shared" si="18"/>
        <v>32641.5</v>
      </c>
      <c r="O40" s="16">
        <f t="shared" si="19"/>
        <v>49419</v>
      </c>
      <c r="P40" s="16">
        <f t="shared" si="20"/>
        <v>38132.5</v>
      </c>
      <c r="Q40" s="16">
        <f t="shared" si="21"/>
        <v>54910</v>
      </c>
      <c r="R40" s="16">
        <f t="shared" si="22"/>
        <v>43623.5</v>
      </c>
      <c r="S40" s="16">
        <f t="shared" si="23"/>
        <v>60401</v>
      </c>
      <c r="T40" s="16">
        <f t="shared" si="24"/>
        <v>49114.5</v>
      </c>
      <c r="U40" s="16">
        <f t="shared" si="25"/>
        <v>65892</v>
      </c>
    </row>
    <row r="41" spans="1:21" x14ac:dyDescent="0.25">
      <c r="A41" s="4" t="s">
        <v>25</v>
      </c>
      <c r="B41" s="16">
        <f t="shared" si="7"/>
        <v>3256</v>
      </c>
      <c r="C41" s="16">
        <f t="shared" si="7"/>
        <v>5495</v>
      </c>
      <c r="D41" s="16">
        <f t="shared" si="8"/>
        <v>13024</v>
      </c>
      <c r="E41" s="16">
        <f t="shared" si="9"/>
        <v>21980</v>
      </c>
      <c r="F41" s="16">
        <f t="shared" si="10"/>
        <v>16280</v>
      </c>
      <c r="G41" s="16">
        <f t="shared" si="11"/>
        <v>27475</v>
      </c>
      <c r="H41" s="16">
        <f t="shared" si="12"/>
        <v>19536</v>
      </c>
      <c r="I41" s="16">
        <f t="shared" si="13"/>
        <v>32970</v>
      </c>
      <c r="J41" s="16">
        <f t="shared" si="14"/>
        <v>22792</v>
      </c>
      <c r="K41" s="16">
        <f t="shared" si="15"/>
        <v>38465</v>
      </c>
      <c r="L41" s="16">
        <f t="shared" si="16"/>
        <v>27167.5</v>
      </c>
      <c r="M41" s="16">
        <f t="shared" si="17"/>
        <v>43960</v>
      </c>
      <c r="N41" s="16">
        <f t="shared" si="18"/>
        <v>32662.5</v>
      </c>
      <c r="O41" s="16">
        <f t="shared" si="19"/>
        <v>49455</v>
      </c>
      <c r="P41" s="16">
        <f t="shared" si="20"/>
        <v>38157.5</v>
      </c>
      <c r="Q41" s="16">
        <f t="shared" si="21"/>
        <v>54950</v>
      </c>
      <c r="R41" s="16">
        <f t="shared" si="22"/>
        <v>43652.5</v>
      </c>
      <c r="S41" s="16">
        <f t="shared" si="23"/>
        <v>60445</v>
      </c>
      <c r="T41" s="16">
        <f t="shared" si="24"/>
        <v>49147.5</v>
      </c>
      <c r="U41" s="16">
        <f t="shared" si="25"/>
        <v>65940</v>
      </c>
    </row>
    <row r="42" spans="1:21" x14ac:dyDescent="0.25">
      <c r="A42" s="4" t="s">
        <v>26</v>
      </c>
      <c r="B42" s="16">
        <f t="shared" si="7"/>
        <v>3328</v>
      </c>
      <c r="C42" s="16">
        <f t="shared" si="7"/>
        <v>5617</v>
      </c>
      <c r="D42" s="16">
        <f t="shared" si="8"/>
        <v>13312</v>
      </c>
      <c r="E42" s="16">
        <f t="shared" si="9"/>
        <v>22468</v>
      </c>
      <c r="F42" s="16">
        <f t="shared" si="10"/>
        <v>16640</v>
      </c>
      <c r="G42" s="16">
        <f t="shared" si="11"/>
        <v>28085</v>
      </c>
      <c r="H42" s="16">
        <f t="shared" si="12"/>
        <v>19968</v>
      </c>
      <c r="I42" s="16">
        <f t="shared" si="13"/>
        <v>33702</v>
      </c>
      <c r="J42" s="16">
        <f t="shared" si="14"/>
        <v>23296</v>
      </c>
      <c r="K42" s="16">
        <f t="shared" si="15"/>
        <v>39319</v>
      </c>
      <c r="L42" s="16">
        <f t="shared" si="16"/>
        <v>27768.5</v>
      </c>
      <c r="M42" s="16">
        <f t="shared" si="17"/>
        <v>44936</v>
      </c>
      <c r="N42" s="16">
        <f t="shared" si="18"/>
        <v>33385.5</v>
      </c>
      <c r="O42" s="16">
        <f t="shared" si="19"/>
        <v>50553</v>
      </c>
      <c r="P42" s="16">
        <f t="shared" si="20"/>
        <v>39002.5</v>
      </c>
      <c r="Q42" s="16">
        <f t="shared" si="21"/>
        <v>56170</v>
      </c>
      <c r="R42" s="16">
        <f t="shared" si="22"/>
        <v>44619.5</v>
      </c>
      <c r="S42" s="16">
        <f t="shared" si="23"/>
        <v>61787</v>
      </c>
      <c r="T42" s="16">
        <f t="shared" si="24"/>
        <v>50236.5</v>
      </c>
      <c r="U42" s="16">
        <f t="shared" si="25"/>
        <v>67404</v>
      </c>
    </row>
    <row r="43" spans="1:21" x14ac:dyDescent="0.25">
      <c r="A43" s="4" t="s">
        <v>27</v>
      </c>
      <c r="B43" s="16">
        <f t="shared" si="7"/>
        <v>3426</v>
      </c>
      <c r="C43" s="16">
        <f t="shared" si="7"/>
        <v>5782</v>
      </c>
      <c r="D43" s="16">
        <f t="shared" si="8"/>
        <v>13704</v>
      </c>
      <c r="E43" s="16">
        <f t="shared" si="9"/>
        <v>23128</v>
      </c>
      <c r="F43" s="16">
        <f t="shared" si="10"/>
        <v>17130</v>
      </c>
      <c r="G43" s="16">
        <f t="shared" si="11"/>
        <v>28910</v>
      </c>
      <c r="H43" s="16">
        <f t="shared" si="12"/>
        <v>20556</v>
      </c>
      <c r="I43" s="16">
        <f t="shared" si="13"/>
        <v>34692</v>
      </c>
      <c r="J43" s="16">
        <f t="shared" si="14"/>
        <v>23982</v>
      </c>
      <c r="K43" s="16">
        <f t="shared" si="15"/>
        <v>40474</v>
      </c>
      <c r="L43" s="16">
        <f t="shared" si="16"/>
        <v>28586</v>
      </c>
      <c r="M43" s="16">
        <f t="shared" si="17"/>
        <v>46256</v>
      </c>
      <c r="N43" s="16">
        <f t="shared" si="18"/>
        <v>34368</v>
      </c>
      <c r="O43" s="16">
        <f t="shared" si="19"/>
        <v>52038</v>
      </c>
      <c r="P43" s="16">
        <f t="shared" si="20"/>
        <v>40150</v>
      </c>
      <c r="Q43" s="16">
        <f t="shared" si="21"/>
        <v>57820</v>
      </c>
      <c r="R43" s="16">
        <f t="shared" si="22"/>
        <v>45932</v>
      </c>
      <c r="S43" s="16">
        <f t="shared" si="23"/>
        <v>63602</v>
      </c>
      <c r="T43" s="16">
        <f t="shared" si="24"/>
        <v>51714</v>
      </c>
      <c r="U43" s="16">
        <f t="shared" si="25"/>
        <v>69384</v>
      </c>
    </row>
    <row r="44" spans="1:21" x14ac:dyDescent="0.25">
      <c r="A44" s="4" t="s">
        <v>28</v>
      </c>
      <c r="B44" s="16">
        <f t="shared" si="7"/>
        <v>3449</v>
      </c>
      <c r="C44" s="16">
        <f t="shared" si="7"/>
        <v>5820</v>
      </c>
      <c r="D44" s="16">
        <f t="shared" si="8"/>
        <v>13796</v>
      </c>
      <c r="E44" s="16">
        <f t="shared" si="9"/>
        <v>23280</v>
      </c>
      <c r="F44" s="16">
        <f t="shared" si="10"/>
        <v>17245</v>
      </c>
      <c r="G44" s="16">
        <f t="shared" si="11"/>
        <v>29100</v>
      </c>
      <c r="H44" s="16">
        <f t="shared" si="12"/>
        <v>20694</v>
      </c>
      <c r="I44" s="16">
        <f t="shared" si="13"/>
        <v>34920</v>
      </c>
      <c r="J44" s="16">
        <f t="shared" si="14"/>
        <v>24143</v>
      </c>
      <c r="K44" s="16">
        <f t="shared" si="15"/>
        <v>40740</v>
      </c>
      <c r="L44" s="16">
        <f t="shared" si="16"/>
        <v>28777.5</v>
      </c>
      <c r="M44" s="16">
        <f t="shared" si="17"/>
        <v>46560</v>
      </c>
      <c r="N44" s="16">
        <f t="shared" si="18"/>
        <v>34597.5</v>
      </c>
      <c r="O44" s="16">
        <f t="shared" si="19"/>
        <v>52380</v>
      </c>
      <c r="P44" s="16">
        <f t="shared" si="20"/>
        <v>40417.5</v>
      </c>
      <c r="Q44" s="16">
        <f t="shared" si="21"/>
        <v>58200</v>
      </c>
      <c r="R44" s="16">
        <f t="shared" si="22"/>
        <v>46237.5</v>
      </c>
      <c r="S44" s="16">
        <f t="shared" si="23"/>
        <v>64020</v>
      </c>
      <c r="T44" s="16">
        <f t="shared" si="24"/>
        <v>52057.5</v>
      </c>
      <c r="U44" s="16">
        <f t="shared" si="25"/>
        <v>69840</v>
      </c>
    </row>
    <row r="45" spans="1:21" x14ac:dyDescent="0.25">
      <c r="A45" s="4" t="s">
        <v>29</v>
      </c>
      <c r="B45" s="16">
        <f t="shared" si="7"/>
        <v>3281</v>
      </c>
      <c r="C45" s="16">
        <f t="shared" si="7"/>
        <v>5536</v>
      </c>
      <c r="D45" s="16">
        <f t="shared" si="8"/>
        <v>13124</v>
      </c>
      <c r="E45" s="16">
        <f t="shared" si="9"/>
        <v>22144</v>
      </c>
      <c r="F45" s="16">
        <f t="shared" si="10"/>
        <v>16405</v>
      </c>
      <c r="G45" s="16">
        <f t="shared" si="11"/>
        <v>27680</v>
      </c>
      <c r="H45" s="16">
        <f t="shared" si="12"/>
        <v>19686</v>
      </c>
      <c r="I45" s="16">
        <f t="shared" si="13"/>
        <v>33216</v>
      </c>
      <c r="J45" s="16">
        <f t="shared" si="14"/>
        <v>22967</v>
      </c>
      <c r="K45" s="16">
        <f t="shared" si="15"/>
        <v>38752</v>
      </c>
      <c r="L45" s="16">
        <f t="shared" si="16"/>
        <v>27375.5</v>
      </c>
      <c r="M45" s="16">
        <f t="shared" si="17"/>
        <v>44288</v>
      </c>
      <c r="N45" s="16">
        <f t="shared" si="18"/>
        <v>32911.5</v>
      </c>
      <c r="O45" s="16">
        <f t="shared" si="19"/>
        <v>49824</v>
      </c>
      <c r="P45" s="16">
        <f t="shared" si="20"/>
        <v>38447.5</v>
      </c>
      <c r="Q45" s="16">
        <f t="shared" si="21"/>
        <v>55360</v>
      </c>
      <c r="R45" s="16">
        <f t="shared" si="22"/>
        <v>43983.5</v>
      </c>
      <c r="S45" s="16">
        <f t="shared" si="23"/>
        <v>60896</v>
      </c>
      <c r="T45" s="16">
        <f t="shared" si="24"/>
        <v>49519.5</v>
      </c>
      <c r="U45" s="16">
        <f t="shared" si="25"/>
        <v>66432</v>
      </c>
    </row>
    <row r="46" spans="1:21" x14ac:dyDescent="0.25">
      <c r="A46" s="4" t="s">
        <v>30</v>
      </c>
      <c r="B46" s="16">
        <f t="shared" si="7"/>
        <v>3409</v>
      </c>
      <c r="C46" s="16">
        <f t="shared" si="7"/>
        <v>5753</v>
      </c>
      <c r="D46" s="16">
        <f t="shared" si="8"/>
        <v>13636</v>
      </c>
      <c r="E46" s="16">
        <f t="shared" si="9"/>
        <v>23012</v>
      </c>
      <c r="F46" s="16">
        <f t="shared" si="10"/>
        <v>17045</v>
      </c>
      <c r="G46" s="16">
        <f t="shared" si="11"/>
        <v>28765</v>
      </c>
      <c r="H46" s="16">
        <f t="shared" si="12"/>
        <v>20454</v>
      </c>
      <c r="I46" s="16">
        <f t="shared" si="13"/>
        <v>34518</v>
      </c>
      <c r="J46" s="16">
        <f t="shared" si="14"/>
        <v>23863</v>
      </c>
      <c r="K46" s="16">
        <f t="shared" si="15"/>
        <v>40271</v>
      </c>
      <c r="L46" s="16">
        <f t="shared" si="16"/>
        <v>28444</v>
      </c>
      <c r="M46" s="16">
        <f t="shared" si="17"/>
        <v>46024</v>
      </c>
      <c r="N46" s="16">
        <f t="shared" si="18"/>
        <v>34197</v>
      </c>
      <c r="O46" s="16">
        <f t="shared" si="19"/>
        <v>51777</v>
      </c>
      <c r="P46" s="16">
        <f t="shared" si="20"/>
        <v>39950</v>
      </c>
      <c r="Q46" s="16">
        <f t="shared" si="21"/>
        <v>57530</v>
      </c>
      <c r="R46" s="16">
        <f t="shared" si="22"/>
        <v>45703</v>
      </c>
      <c r="S46" s="16">
        <f t="shared" si="23"/>
        <v>63283</v>
      </c>
      <c r="T46" s="16">
        <f t="shared" si="24"/>
        <v>51456</v>
      </c>
      <c r="U46" s="16">
        <f t="shared" si="25"/>
        <v>69036</v>
      </c>
    </row>
    <row r="47" spans="1:21" x14ac:dyDescent="0.25">
      <c r="A47" s="4" t="s">
        <v>31</v>
      </c>
      <c r="B47" s="16">
        <f t="shared" si="7"/>
        <v>3510</v>
      </c>
      <c r="C47" s="16">
        <f t="shared" si="7"/>
        <v>5923</v>
      </c>
      <c r="D47" s="16">
        <f t="shared" si="8"/>
        <v>14040</v>
      </c>
      <c r="E47" s="16">
        <f t="shared" si="9"/>
        <v>23692</v>
      </c>
      <c r="F47" s="16">
        <f t="shared" si="10"/>
        <v>17550</v>
      </c>
      <c r="G47" s="16">
        <f t="shared" si="11"/>
        <v>29615</v>
      </c>
      <c r="H47" s="16">
        <f t="shared" si="12"/>
        <v>21060</v>
      </c>
      <c r="I47" s="16">
        <f t="shared" si="13"/>
        <v>35538</v>
      </c>
      <c r="J47" s="16">
        <f t="shared" si="14"/>
        <v>24570</v>
      </c>
      <c r="K47" s="16">
        <f t="shared" si="15"/>
        <v>41461</v>
      </c>
      <c r="L47" s="16">
        <f t="shared" si="16"/>
        <v>29286.5</v>
      </c>
      <c r="M47" s="16">
        <f t="shared" si="17"/>
        <v>47384</v>
      </c>
      <c r="N47" s="16">
        <f t="shared" si="18"/>
        <v>35209.5</v>
      </c>
      <c r="O47" s="16">
        <f t="shared" si="19"/>
        <v>53307</v>
      </c>
      <c r="P47" s="16">
        <f t="shared" si="20"/>
        <v>41132.5</v>
      </c>
      <c r="Q47" s="16">
        <f t="shared" si="21"/>
        <v>59230</v>
      </c>
      <c r="R47" s="16">
        <f t="shared" si="22"/>
        <v>47055.5</v>
      </c>
      <c r="S47" s="16">
        <f t="shared" si="23"/>
        <v>65153</v>
      </c>
      <c r="T47" s="16">
        <f t="shared" si="24"/>
        <v>52978.5</v>
      </c>
      <c r="U47" s="16">
        <f t="shared" si="25"/>
        <v>71076</v>
      </c>
    </row>
    <row r="48" spans="1:21" x14ac:dyDescent="0.25">
      <c r="A48" s="4" t="s">
        <v>32</v>
      </c>
      <c r="B48" s="16">
        <f t="shared" si="7"/>
        <v>3558</v>
      </c>
      <c r="C48" s="16">
        <f t="shared" si="7"/>
        <v>6004</v>
      </c>
      <c r="D48" s="16">
        <f t="shared" si="8"/>
        <v>14232</v>
      </c>
      <c r="E48" s="16">
        <f t="shared" si="9"/>
        <v>24016</v>
      </c>
      <c r="F48" s="16">
        <f t="shared" si="10"/>
        <v>17790</v>
      </c>
      <c r="G48" s="16">
        <f t="shared" si="11"/>
        <v>30020</v>
      </c>
      <c r="H48" s="16">
        <f t="shared" si="12"/>
        <v>21348</v>
      </c>
      <c r="I48" s="16">
        <f t="shared" si="13"/>
        <v>36024</v>
      </c>
      <c r="J48" s="16">
        <f t="shared" si="14"/>
        <v>24906</v>
      </c>
      <c r="K48" s="16">
        <f t="shared" si="15"/>
        <v>42028</v>
      </c>
      <c r="L48" s="16">
        <f t="shared" si="16"/>
        <v>29687</v>
      </c>
      <c r="M48" s="16">
        <f t="shared" si="17"/>
        <v>48032</v>
      </c>
      <c r="N48" s="16">
        <f t="shared" si="18"/>
        <v>35691</v>
      </c>
      <c r="O48" s="16">
        <f t="shared" si="19"/>
        <v>54036</v>
      </c>
      <c r="P48" s="16">
        <f t="shared" si="20"/>
        <v>41695</v>
      </c>
      <c r="Q48" s="16">
        <f t="shared" si="21"/>
        <v>60040</v>
      </c>
      <c r="R48" s="16">
        <f t="shared" si="22"/>
        <v>47699</v>
      </c>
      <c r="S48" s="16">
        <f t="shared" si="23"/>
        <v>66044</v>
      </c>
      <c r="T48" s="16">
        <f t="shared" si="24"/>
        <v>53703</v>
      </c>
      <c r="U48" s="16">
        <f t="shared" si="25"/>
        <v>72048</v>
      </c>
    </row>
    <row r="49" spans="1:21" x14ac:dyDescent="0.25">
      <c r="A49" s="4" t="s">
        <v>47</v>
      </c>
      <c r="B49" s="17">
        <f>HLOOKUP(B1,R6:V7,2,FALSE)</f>
        <v>107</v>
      </c>
      <c r="D49" s="17">
        <f>$B49*MIN(D$51,7.5)</f>
        <v>428</v>
      </c>
      <c r="F49" s="17">
        <f>$B49*MIN(F$51,7.5)</f>
        <v>535</v>
      </c>
      <c r="H49" s="17">
        <f>$B49*MIN(H$51,7.5)</f>
        <v>642</v>
      </c>
      <c r="J49" s="17">
        <f>$B49*MIN(J$51,7.5)</f>
        <v>749</v>
      </c>
      <c r="L49" s="17">
        <f>$B49*MIN(L$51,7.5)</f>
        <v>802.5</v>
      </c>
      <c r="N49" s="17">
        <f>$B49*MIN(N$51,7.5)</f>
        <v>802.5</v>
      </c>
      <c r="P49" s="17">
        <f>$B49*MIN(P$51,7.5)</f>
        <v>802.5</v>
      </c>
      <c r="R49" s="17">
        <f>$B49*MIN(R$51,7.5)</f>
        <v>802.5</v>
      </c>
      <c r="T49" s="17">
        <f>$B49*MIN(T$51,7.5)</f>
        <v>802.5</v>
      </c>
    </row>
    <row r="51" spans="1:21" x14ac:dyDescent="0.25">
      <c r="D51" s="2">
        <v>4</v>
      </c>
      <c r="E51" s="2">
        <v>4</v>
      </c>
      <c r="F51" s="2">
        <v>5</v>
      </c>
      <c r="G51" s="2">
        <v>5</v>
      </c>
      <c r="H51" s="2">
        <v>6</v>
      </c>
      <c r="I51" s="2">
        <v>6</v>
      </c>
      <c r="J51" s="2">
        <v>7</v>
      </c>
      <c r="K51" s="2">
        <v>7</v>
      </c>
      <c r="L51" s="2">
        <v>8</v>
      </c>
      <c r="M51" s="2">
        <v>8</v>
      </c>
      <c r="N51" s="2">
        <v>9</v>
      </c>
      <c r="O51" s="2">
        <v>9</v>
      </c>
      <c r="P51" s="2">
        <v>10</v>
      </c>
      <c r="Q51" s="2">
        <v>10</v>
      </c>
      <c r="R51" s="2">
        <v>11</v>
      </c>
      <c r="S51" s="2">
        <v>11</v>
      </c>
      <c r="T51" s="2">
        <v>12</v>
      </c>
      <c r="U51" s="2">
        <v>12</v>
      </c>
    </row>
    <row r="54" spans="1:21" x14ac:dyDescent="0.25">
      <c r="A54" s="15" t="s">
        <v>48</v>
      </c>
    </row>
    <row r="55" spans="1:21" x14ac:dyDescent="0.25">
      <c r="A55" s="13" t="s">
        <v>49</v>
      </c>
      <c r="B55" s="13" t="s">
        <v>50</v>
      </c>
      <c r="C55" s="13" t="s">
        <v>50</v>
      </c>
      <c r="D55" s="13" t="s">
        <v>50</v>
      </c>
      <c r="E55" s="13" t="s">
        <v>51</v>
      </c>
      <c r="F55" s="13" t="s">
        <v>51</v>
      </c>
      <c r="G55" s="13" t="s">
        <v>51</v>
      </c>
      <c r="H55" s="13" t="s">
        <v>52</v>
      </c>
      <c r="I55" s="13" t="s">
        <v>52</v>
      </c>
      <c r="J55" s="13" t="s">
        <v>53</v>
      </c>
      <c r="K55" s="13" t="s">
        <v>53</v>
      </c>
      <c r="L55" s="13" t="s">
        <v>54</v>
      </c>
      <c r="M55" s="13" t="s">
        <v>54</v>
      </c>
      <c r="N55" s="13" t="s">
        <v>54</v>
      </c>
      <c r="O55" s="13" t="s">
        <v>55</v>
      </c>
      <c r="P55" s="13" t="s">
        <v>55</v>
      </c>
      <c r="Q55" s="13" t="s">
        <v>55</v>
      </c>
      <c r="R55" s="13" t="s">
        <v>56</v>
      </c>
    </row>
    <row r="56" spans="1:21" x14ac:dyDescent="0.25">
      <c r="A56" s="13" t="s">
        <v>57</v>
      </c>
      <c r="B56" s="12">
        <v>2</v>
      </c>
      <c r="C56" s="12">
        <v>1</v>
      </c>
      <c r="D56" s="12">
        <v>0</v>
      </c>
      <c r="E56" s="12">
        <v>4</v>
      </c>
      <c r="F56" s="12">
        <v>3</v>
      </c>
      <c r="G56" s="12">
        <v>2</v>
      </c>
      <c r="H56" s="12">
        <v>5</v>
      </c>
      <c r="I56" s="12">
        <v>4</v>
      </c>
      <c r="J56" s="12">
        <v>6</v>
      </c>
      <c r="K56" s="12">
        <v>5</v>
      </c>
      <c r="L56" s="12">
        <v>8</v>
      </c>
      <c r="M56" s="12">
        <v>7</v>
      </c>
      <c r="N56" s="12">
        <v>6</v>
      </c>
      <c r="O56" s="12">
        <v>10</v>
      </c>
      <c r="P56" s="12">
        <v>9</v>
      </c>
      <c r="Q56" s="12">
        <v>8</v>
      </c>
      <c r="R56" s="12">
        <v>10</v>
      </c>
    </row>
    <row r="57" spans="1:21" x14ac:dyDescent="0.25">
      <c r="A57" s="13" t="s">
        <v>58</v>
      </c>
      <c r="B57" s="12">
        <v>0</v>
      </c>
      <c r="C57" s="12">
        <v>1</v>
      </c>
      <c r="D57" s="12">
        <v>2</v>
      </c>
      <c r="E57" s="12">
        <v>0</v>
      </c>
      <c r="F57" s="12">
        <v>1</v>
      </c>
      <c r="G57" s="12">
        <v>2</v>
      </c>
      <c r="H57" s="12">
        <v>1</v>
      </c>
      <c r="I57" s="12">
        <v>2</v>
      </c>
      <c r="J57" s="12">
        <v>2</v>
      </c>
      <c r="K57" s="12">
        <v>3</v>
      </c>
      <c r="L57" s="12">
        <v>2</v>
      </c>
      <c r="M57" s="12">
        <v>3</v>
      </c>
      <c r="N57" s="12">
        <v>4</v>
      </c>
      <c r="O57" s="12">
        <v>2</v>
      </c>
      <c r="P57" s="12">
        <v>3</v>
      </c>
      <c r="Q57" s="12">
        <v>4</v>
      </c>
      <c r="R57" s="12">
        <v>4</v>
      </c>
    </row>
    <row r="58" spans="1:21" x14ac:dyDescent="0.25">
      <c r="A58" s="14" t="s">
        <v>22</v>
      </c>
      <c r="B58" s="11">
        <f t="shared" ref="B58:R58" si="26">B$56*$R38+B$57*$S38</f>
        <v>86847</v>
      </c>
      <c r="C58" s="11">
        <f t="shared" si="26"/>
        <v>103549.5</v>
      </c>
      <c r="D58" s="11">
        <f t="shared" si="26"/>
        <v>120252</v>
      </c>
      <c r="E58" s="11">
        <f t="shared" si="26"/>
        <v>173694</v>
      </c>
      <c r="F58" s="11">
        <f t="shared" si="26"/>
        <v>190396.5</v>
      </c>
      <c r="G58" s="11">
        <f t="shared" si="26"/>
        <v>207099</v>
      </c>
      <c r="H58" s="11">
        <f t="shared" si="26"/>
        <v>277243.5</v>
      </c>
      <c r="I58" s="11">
        <f t="shared" si="26"/>
        <v>293946</v>
      </c>
      <c r="J58" s="11">
        <f t="shared" si="26"/>
        <v>380793</v>
      </c>
      <c r="K58" s="11">
        <f t="shared" si="26"/>
        <v>397495.5</v>
      </c>
      <c r="L58" s="11">
        <f t="shared" si="26"/>
        <v>467640</v>
      </c>
      <c r="M58" s="11">
        <f t="shared" si="26"/>
        <v>484342.5</v>
      </c>
      <c r="N58" s="11">
        <f t="shared" si="26"/>
        <v>501045</v>
      </c>
      <c r="O58" s="11">
        <f t="shared" si="26"/>
        <v>554487</v>
      </c>
      <c r="P58" s="11">
        <f t="shared" si="26"/>
        <v>571189.5</v>
      </c>
      <c r="Q58" s="11">
        <f t="shared" si="26"/>
        <v>587892</v>
      </c>
      <c r="R58" s="11">
        <f t="shared" si="26"/>
        <v>674739</v>
      </c>
    </row>
    <row r="59" spans="1:21" x14ac:dyDescent="0.25">
      <c r="A59" s="14" t="s">
        <v>23</v>
      </c>
      <c r="B59" s="11">
        <f t="shared" ref="B59:R59" si="27">B$56*$R39+B$57*$S39</f>
        <v>86847</v>
      </c>
      <c r="C59" s="11">
        <f t="shared" si="27"/>
        <v>103549.5</v>
      </c>
      <c r="D59" s="11">
        <f t="shared" si="27"/>
        <v>120252</v>
      </c>
      <c r="E59" s="11">
        <f t="shared" si="27"/>
        <v>173694</v>
      </c>
      <c r="F59" s="11">
        <f t="shared" si="27"/>
        <v>190396.5</v>
      </c>
      <c r="G59" s="11">
        <f t="shared" si="27"/>
        <v>207099</v>
      </c>
      <c r="H59" s="11">
        <f t="shared" si="27"/>
        <v>277243.5</v>
      </c>
      <c r="I59" s="11">
        <f t="shared" si="27"/>
        <v>293946</v>
      </c>
      <c r="J59" s="11">
        <f t="shared" si="27"/>
        <v>380793</v>
      </c>
      <c r="K59" s="11">
        <f t="shared" si="27"/>
        <v>397495.5</v>
      </c>
      <c r="L59" s="11">
        <f t="shared" si="27"/>
        <v>467640</v>
      </c>
      <c r="M59" s="11">
        <f t="shared" si="27"/>
        <v>484342.5</v>
      </c>
      <c r="N59" s="11">
        <f t="shared" si="27"/>
        <v>501045</v>
      </c>
      <c r="O59" s="11">
        <f t="shared" si="27"/>
        <v>554487</v>
      </c>
      <c r="P59" s="11">
        <f t="shared" si="27"/>
        <v>571189.5</v>
      </c>
      <c r="Q59" s="11">
        <f t="shared" si="27"/>
        <v>587892</v>
      </c>
      <c r="R59" s="11">
        <f t="shared" si="27"/>
        <v>674739</v>
      </c>
    </row>
    <row r="60" spans="1:21" x14ac:dyDescent="0.25">
      <c r="A60" s="14" t="s">
        <v>24</v>
      </c>
      <c r="B60" s="11">
        <f t="shared" ref="B60:R60" si="28">B$56*$R40+B$57*$S40</f>
        <v>87247</v>
      </c>
      <c r="C60" s="11">
        <f t="shared" si="28"/>
        <v>104024.5</v>
      </c>
      <c r="D60" s="11">
        <f t="shared" si="28"/>
        <v>120802</v>
      </c>
      <c r="E60" s="11">
        <f t="shared" si="28"/>
        <v>174494</v>
      </c>
      <c r="F60" s="11">
        <f t="shared" si="28"/>
        <v>191271.5</v>
      </c>
      <c r="G60" s="11">
        <f t="shared" si="28"/>
        <v>208049</v>
      </c>
      <c r="H60" s="11">
        <f t="shared" si="28"/>
        <v>278518.5</v>
      </c>
      <c r="I60" s="11">
        <f t="shared" si="28"/>
        <v>295296</v>
      </c>
      <c r="J60" s="11">
        <f t="shared" si="28"/>
        <v>382543</v>
      </c>
      <c r="K60" s="11">
        <f t="shared" si="28"/>
        <v>399320.5</v>
      </c>
      <c r="L60" s="11">
        <f t="shared" si="28"/>
        <v>469790</v>
      </c>
      <c r="M60" s="11">
        <f t="shared" si="28"/>
        <v>486567.5</v>
      </c>
      <c r="N60" s="11">
        <f t="shared" si="28"/>
        <v>503345</v>
      </c>
      <c r="O60" s="11">
        <f t="shared" si="28"/>
        <v>557037</v>
      </c>
      <c r="P60" s="11">
        <f t="shared" si="28"/>
        <v>573814.5</v>
      </c>
      <c r="Q60" s="11">
        <f t="shared" si="28"/>
        <v>590592</v>
      </c>
      <c r="R60" s="11">
        <f t="shared" si="28"/>
        <v>677839</v>
      </c>
    </row>
    <row r="61" spans="1:21" x14ac:dyDescent="0.25">
      <c r="A61" s="14" t="s">
        <v>25</v>
      </c>
      <c r="B61" s="11">
        <f t="shared" ref="B61:R61" si="29">B$56*$R41+B$57*$S41</f>
        <v>87305</v>
      </c>
      <c r="C61" s="11">
        <f t="shared" si="29"/>
        <v>104097.5</v>
      </c>
      <c r="D61" s="11">
        <f t="shared" si="29"/>
        <v>120890</v>
      </c>
      <c r="E61" s="11">
        <f t="shared" si="29"/>
        <v>174610</v>
      </c>
      <c r="F61" s="11">
        <f t="shared" si="29"/>
        <v>191402.5</v>
      </c>
      <c r="G61" s="11">
        <f t="shared" si="29"/>
        <v>208195</v>
      </c>
      <c r="H61" s="11">
        <f t="shared" si="29"/>
        <v>278707.5</v>
      </c>
      <c r="I61" s="11">
        <f t="shared" si="29"/>
        <v>295500</v>
      </c>
      <c r="J61" s="11">
        <f t="shared" si="29"/>
        <v>382805</v>
      </c>
      <c r="K61" s="11">
        <f t="shared" si="29"/>
        <v>399597.5</v>
      </c>
      <c r="L61" s="11">
        <f t="shared" si="29"/>
        <v>470110</v>
      </c>
      <c r="M61" s="11">
        <f t="shared" si="29"/>
        <v>486902.5</v>
      </c>
      <c r="N61" s="11">
        <f t="shared" si="29"/>
        <v>503695</v>
      </c>
      <c r="O61" s="11">
        <f t="shared" si="29"/>
        <v>557415</v>
      </c>
      <c r="P61" s="11">
        <f t="shared" si="29"/>
        <v>574207.5</v>
      </c>
      <c r="Q61" s="11">
        <f t="shared" si="29"/>
        <v>591000</v>
      </c>
      <c r="R61" s="11">
        <f t="shared" si="29"/>
        <v>678305</v>
      </c>
    </row>
    <row r="62" spans="1:21" x14ac:dyDescent="0.25">
      <c r="A62" s="14" t="s">
        <v>26</v>
      </c>
      <c r="B62" s="11">
        <f t="shared" ref="B62:R62" si="30">B$56*$R42+B$57*$S42</f>
        <v>89239</v>
      </c>
      <c r="C62" s="11">
        <f t="shared" si="30"/>
        <v>106406.5</v>
      </c>
      <c r="D62" s="11">
        <f t="shared" si="30"/>
        <v>123574</v>
      </c>
      <c r="E62" s="11">
        <f t="shared" si="30"/>
        <v>178478</v>
      </c>
      <c r="F62" s="11">
        <f t="shared" si="30"/>
        <v>195645.5</v>
      </c>
      <c r="G62" s="11">
        <f t="shared" si="30"/>
        <v>212813</v>
      </c>
      <c r="H62" s="11">
        <f t="shared" si="30"/>
        <v>284884.5</v>
      </c>
      <c r="I62" s="11">
        <f t="shared" si="30"/>
        <v>302052</v>
      </c>
      <c r="J62" s="11">
        <f t="shared" si="30"/>
        <v>391291</v>
      </c>
      <c r="K62" s="11">
        <f t="shared" si="30"/>
        <v>408458.5</v>
      </c>
      <c r="L62" s="11">
        <f t="shared" si="30"/>
        <v>480530</v>
      </c>
      <c r="M62" s="11">
        <f t="shared" si="30"/>
        <v>497697.5</v>
      </c>
      <c r="N62" s="11">
        <f t="shared" si="30"/>
        <v>514865</v>
      </c>
      <c r="O62" s="11">
        <f t="shared" si="30"/>
        <v>569769</v>
      </c>
      <c r="P62" s="11">
        <f t="shared" si="30"/>
        <v>586936.5</v>
      </c>
      <c r="Q62" s="11">
        <f t="shared" si="30"/>
        <v>604104</v>
      </c>
      <c r="R62" s="11">
        <f t="shared" si="30"/>
        <v>693343</v>
      </c>
    </row>
    <row r="63" spans="1:21" x14ac:dyDescent="0.25">
      <c r="A63" s="14" t="s">
        <v>27</v>
      </c>
      <c r="B63" s="11">
        <f t="shared" ref="B63:R63" si="31">B$56*$R43+B$57*$S43</f>
        <v>91864</v>
      </c>
      <c r="C63" s="11">
        <f t="shared" si="31"/>
        <v>109534</v>
      </c>
      <c r="D63" s="11">
        <f t="shared" si="31"/>
        <v>127204</v>
      </c>
      <c r="E63" s="11">
        <f t="shared" si="31"/>
        <v>183728</v>
      </c>
      <c r="F63" s="11">
        <f t="shared" si="31"/>
        <v>201398</v>
      </c>
      <c r="G63" s="11">
        <f t="shared" si="31"/>
        <v>219068</v>
      </c>
      <c r="H63" s="11">
        <f t="shared" si="31"/>
        <v>293262</v>
      </c>
      <c r="I63" s="11">
        <f t="shared" si="31"/>
        <v>310932</v>
      </c>
      <c r="J63" s="11">
        <f t="shared" si="31"/>
        <v>402796</v>
      </c>
      <c r="K63" s="11">
        <f t="shared" si="31"/>
        <v>420466</v>
      </c>
      <c r="L63" s="11">
        <f t="shared" si="31"/>
        <v>494660</v>
      </c>
      <c r="M63" s="11">
        <f t="shared" si="31"/>
        <v>512330</v>
      </c>
      <c r="N63" s="11">
        <f t="shared" si="31"/>
        <v>530000</v>
      </c>
      <c r="O63" s="11">
        <f t="shared" si="31"/>
        <v>586524</v>
      </c>
      <c r="P63" s="11">
        <f t="shared" si="31"/>
        <v>604194</v>
      </c>
      <c r="Q63" s="11">
        <f t="shared" si="31"/>
        <v>621864</v>
      </c>
      <c r="R63" s="11">
        <f t="shared" si="31"/>
        <v>713728</v>
      </c>
    </row>
    <row r="64" spans="1:21" x14ac:dyDescent="0.25">
      <c r="A64" s="14" t="s">
        <v>28</v>
      </c>
      <c r="B64" s="11">
        <f t="shared" ref="B64:R64" si="32">B$56*$R44+B$57*$S44</f>
        <v>92475</v>
      </c>
      <c r="C64" s="11">
        <f t="shared" si="32"/>
        <v>110257.5</v>
      </c>
      <c r="D64" s="11">
        <f t="shared" si="32"/>
        <v>128040</v>
      </c>
      <c r="E64" s="11">
        <f t="shared" si="32"/>
        <v>184950</v>
      </c>
      <c r="F64" s="11">
        <f t="shared" si="32"/>
        <v>202732.5</v>
      </c>
      <c r="G64" s="11">
        <f t="shared" si="32"/>
        <v>220515</v>
      </c>
      <c r="H64" s="11">
        <f t="shared" si="32"/>
        <v>295207.5</v>
      </c>
      <c r="I64" s="11">
        <f t="shared" si="32"/>
        <v>312990</v>
      </c>
      <c r="J64" s="11">
        <f t="shared" si="32"/>
        <v>405465</v>
      </c>
      <c r="K64" s="11">
        <f t="shared" si="32"/>
        <v>423247.5</v>
      </c>
      <c r="L64" s="11">
        <f t="shared" si="32"/>
        <v>497940</v>
      </c>
      <c r="M64" s="11">
        <f t="shared" si="32"/>
        <v>515722.5</v>
      </c>
      <c r="N64" s="11">
        <f t="shared" si="32"/>
        <v>533505</v>
      </c>
      <c r="O64" s="11">
        <f t="shared" si="32"/>
        <v>590415</v>
      </c>
      <c r="P64" s="11">
        <f t="shared" si="32"/>
        <v>608197.5</v>
      </c>
      <c r="Q64" s="11">
        <f t="shared" si="32"/>
        <v>625980</v>
      </c>
      <c r="R64" s="11">
        <f t="shared" si="32"/>
        <v>718455</v>
      </c>
    </row>
    <row r="65" spans="1:18" x14ac:dyDescent="0.25">
      <c r="A65" s="14" t="s">
        <v>29</v>
      </c>
      <c r="B65" s="11">
        <f t="shared" ref="B65:R65" si="33">B$56*$R45+B$57*$S45</f>
        <v>87967</v>
      </c>
      <c r="C65" s="11">
        <f t="shared" si="33"/>
        <v>104879.5</v>
      </c>
      <c r="D65" s="11">
        <f t="shared" si="33"/>
        <v>121792</v>
      </c>
      <c r="E65" s="11">
        <f t="shared" si="33"/>
        <v>175934</v>
      </c>
      <c r="F65" s="11">
        <f t="shared" si="33"/>
        <v>192846.5</v>
      </c>
      <c r="G65" s="11">
        <f t="shared" si="33"/>
        <v>209759</v>
      </c>
      <c r="H65" s="11">
        <f t="shared" si="33"/>
        <v>280813.5</v>
      </c>
      <c r="I65" s="11">
        <f t="shared" si="33"/>
        <v>297726</v>
      </c>
      <c r="J65" s="11">
        <f t="shared" si="33"/>
        <v>385693</v>
      </c>
      <c r="K65" s="11">
        <f t="shared" si="33"/>
        <v>402605.5</v>
      </c>
      <c r="L65" s="11">
        <f t="shared" si="33"/>
        <v>473660</v>
      </c>
      <c r="M65" s="11">
        <f t="shared" si="33"/>
        <v>490572.5</v>
      </c>
      <c r="N65" s="11">
        <f t="shared" si="33"/>
        <v>507485</v>
      </c>
      <c r="O65" s="11">
        <f t="shared" si="33"/>
        <v>561627</v>
      </c>
      <c r="P65" s="11">
        <f t="shared" si="33"/>
        <v>578539.5</v>
      </c>
      <c r="Q65" s="11">
        <f t="shared" si="33"/>
        <v>595452</v>
      </c>
      <c r="R65" s="11">
        <f t="shared" si="33"/>
        <v>683419</v>
      </c>
    </row>
    <row r="66" spans="1:18" x14ac:dyDescent="0.25">
      <c r="A66" s="14" t="s">
        <v>30</v>
      </c>
      <c r="B66" s="11">
        <f t="shared" ref="B66:R66" si="34">B$56*$R46+B$57*$S46</f>
        <v>91406</v>
      </c>
      <c r="C66" s="11">
        <f t="shared" si="34"/>
        <v>108986</v>
      </c>
      <c r="D66" s="11">
        <f t="shared" si="34"/>
        <v>126566</v>
      </c>
      <c r="E66" s="11">
        <f t="shared" si="34"/>
        <v>182812</v>
      </c>
      <c r="F66" s="11">
        <f t="shared" si="34"/>
        <v>200392</v>
      </c>
      <c r="G66" s="11">
        <f t="shared" si="34"/>
        <v>217972</v>
      </c>
      <c r="H66" s="11">
        <f t="shared" si="34"/>
        <v>291798</v>
      </c>
      <c r="I66" s="11">
        <f t="shared" si="34"/>
        <v>309378</v>
      </c>
      <c r="J66" s="11">
        <f t="shared" si="34"/>
        <v>400784</v>
      </c>
      <c r="K66" s="11">
        <f t="shared" si="34"/>
        <v>418364</v>
      </c>
      <c r="L66" s="11">
        <f t="shared" si="34"/>
        <v>492190</v>
      </c>
      <c r="M66" s="11">
        <f t="shared" si="34"/>
        <v>509770</v>
      </c>
      <c r="N66" s="11">
        <f t="shared" si="34"/>
        <v>527350</v>
      </c>
      <c r="O66" s="11">
        <f t="shared" si="34"/>
        <v>583596</v>
      </c>
      <c r="P66" s="11">
        <f t="shared" si="34"/>
        <v>601176</v>
      </c>
      <c r="Q66" s="11">
        <f t="shared" si="34"/>
        <v>618756</v>
      </c>
      <c r="R66" s="11">
        <f t="shared" si="34"/>
        <v>710162</v>
      </c>
    </row>
    <row r="67" spans="1:18" x14ac:dyDescent="0.25">
      <c r="A67" s="14" t="s">
        <v>31</v>
      </c>
      <c r="B67" s="11">
        <f t="shared" ref="B67:R67" si="35">B$56*$R47+B$57*$S47</f>
        <v>94111</v>
      </c>
      <c r="C67" s="11">
        <f t="shared" si="35"/>
        <v>112208.5</v>
      </c>
      <c r="D67" s="11">
        <f t="shared" si="35"/>
        <v>130306</v>
      </c>
      <c r="E67" s="11">
        <f t="shared" si="35"/>
        <v>188222</v>
      </c>
      <c r="F67" s="11">
        <f t="shared" si="35"/>
        <v>206319.5</v>
      </c>
      <c r="G67" s="11">
        <f t="shared" si="35"/>
        <v>224417</v>
      </c>
      <c r="H67" s="11">
        <f t="shared" si="35"/>
        <v>300430.5</v>
      </c>
      <c r="I67" s="11">
        <f t="shared" si="35"/>
        <v>318528</v>
      </c>
      <c r="J67" s="11">
        <f t="shared" si="35"/>
        <v>412639</v>
      </c>
      <c r="K67" s="11">
        <f t="shared" si="35"/>
        <v>430736.5</v>
      </c>
      <c r="L67" s="11">
        <f t="shared" si="35"/>
        <v>506750</v>
      </c>
      <c r="M67" s="11">
        <f t="shared" si="35"/>
        <v>524847.5</v>
      </c>
      <c r="N67" s="11">
        <f t="shared" si="35"/>
        <v>542945</v>
      </c>
      <c r="O67" s="11">
        <f t="shared" si="35"/>
        <v>600861</v>
      </c>
      <c r="P67" s="11">
        <f t="shared" si="35"/>
        <v>618958.5</v>
      </c>
      <c r="Q67" s="11">
        <f t="shared" si="35"/>
        <v>637056</v>
      </c>
      <c r="R67" s="11">
        <f t="shared" si="35"/>
        <v>731167</v>
      </c>
    </row>
    <row r="68" spans="1:18" x14ac:dyDescent="0.25">
      <c r="A68" s="14" t="s">
        <v>32</v>
      </c>
      <c r="B68" s="11">
        <f t="shared" ref="B68:R68" si="36">B$56*$R48+B$57*$S48</f>
        <v>95398</v>
      </c>
      <c r="C68" s="11">
        <f t="shared" si="36"/>
        <v>113743</v>
      </c>
      <c r="D68" s="11">
        <f t="shared" si="36"/>
        <v>132088</v>
      </c>
      <c r="E68" s="11">
        <f t="shared" si="36"/>
        <v>190796</v>
      </c>
      <c r="F68" s="11">
        <f t="shared" si="36"/>
        <v>209141</v>
      </c>
      <c r="G68" s="11">
        <f t="shared" si="36"/>
        <v>227486</v>
      </c>
      <c r="H68" s="11">
        <f t="shared" si="36"/>
        <v>304539</v>
      </c>
      <c r="I68" s="11">
        <f t="shared" si="36"/>
        <v>322884</v>
      </c>
      <c r="J68" s="11">
        <f t="shared" si="36"/>
        <v>418282</v>
      </c>
      <c r="K68" s="11">
        <f t="shared" si="36"/>
        <v>436627</v>
      </c>
      <c r="L68" s="11">
        <f t="shared" si="36"/>
        <v>513680</v>
      </c>
      <c r="M68" s="11">
        <f t="shared" si="36"/>
        <v>532025</v>
      </c>
      <c r="N68" s="11">
        <f t="shared" si="36"/>
        <v>550370</v>
      </c>
      <c r="O68" s="11">
        <f t="shared" si="36"/>
        <v>609078</v>
      </c>
      <c r="P68" s="11">
        <f t="shared" si="36"/>
        <v>627423</v>
      </c>
      <c r="Q68" s="11">
        <f t="shared" si="36"/>
        <v>645768</v>
      </c>
      <c r="R68" s="11">
        <f t="shared" si="36"/>
        <v>741166</v>
      </c>
    </row>
    <row r="69" spans="1:18" ht="30" customHeight="1" x14ac:dyDescent="0.25">
      <c r="A69" s="14" t="s">
        <v>47</v>
      </c>
      <c r="B69" s="11">
        <f t="shared" ref="B69:R69" si="37">B$56*$R49+B$57*$S49</f>
        <v>1605</v>
      </c>
      <c r="C69" s="11">
        <f t="shared" si="37"/>
        <v>802.5</v>
      </c>
      <c r="D69" s="11">
        <f t="shared" si="37"/>
        <v>0</v>
      </c>
      <c r="E69" s="11">
        <f t="shared" si="37"/>
        <v>3210</v>
      </c>
      <c r="F69" s="11">
        <f t="shared" si="37"/>
        <v>2407.5</v>
      </c>
      <c r="G69" s="11">
        <f t="shared" si="37"/>
        <v>1605</v>
      </c>
      <c r="H69" s="11">
        <f t="shared" si="37"/>
        <v>4012.5</v>
      </c>
      <c r="I69" s="11">
        <f t="shared" si="37"/>
        <v>3210</v>
      </c>
      <c r="J69" s="11">
        <f t="shared" si="37"/>
        <v>4815</v>
      </c>
      <c r="K69" s="11">
        <f t="shared" si="37"/>
        <v>4012.5</v>
      </c>
      <c r="L69" s="11">
        <f t="shared" si="37"/>
        <v>6420</v>
      </c>
      <c r="M69" s="11">
        <f t="shared" si="37"/>
        <v>5617.5</v>
      </c>
      <c r="N69" s="11">
        <f t="shared" si="37"/>
        <v>4815</v>
      </c>
      <c r="O69" s="11">
        <f t="shared" si="37"/>
        <v>8025</v>
      </c>
      <c r="P69" s="11">
        <f t="shared" si="37"/>
        <v>7222.5</v>
      </c>
      <c r="Q69" s="11">
        <f t="shared" si="37"/>
        <v>6420</v>
      </c>
      <c r="R69" s="11">
        <f t="shared" si="37"/>
        <v>8025</v>
      </c>
    </row>
    <row r="71" spans="1:18" x14ac:dyDescent="0.25">
      <c r="A71" s="15" t="s">
        <v>71</v>
      </c>
    </row>
    <row r="72" spans="1:18" x14ac:dyDescent="0.25">
      <c r="A72" s="13" t="s">
        <v>60</v>
      </c>
      <c r="B72" s="13" t="s">
        <v>50</v>
      </c>
      <c r="C72" s="13" t="s">
        <v>50</v>
      </c>
      <c r="D72" s="13" t="s">
        <v>50</v>
      </c>
      <c r="E72" s="13" t="s">
        <v>51</v>
      </c>
      <c r="F72" s="13" t="s">
        <v>51</v>
      </c>
      <c r="G72" s="13" t="s">
        <v>51</v>
      </c>
      <c r="H72" s="13" t="s">
        <v>52</v>
      </c>
      <c r="I72" s="13" t="s">
        <v>52</v>
      </c>
      <c r="J72" s="13" t="s">
        <v>53</v>
      </c>
      <c r="K72" s="13" t="s">
        <v>53</v>
      </c>
      <c r="L72" s="13" t="s">
        <v>54</v>
      </c>
      <c r="M72" s="13" t="s">
        <v>54</v>
      </c>
      <c r="N72" s="13" t="s">
        <v>54</v>
      </c>
      <c r="O72" s="13" t="s">
        <v>55</v>
      </c>
      <c r="P72" s="13" t="s">
        <v>55</v>
      </c>
      <c r="Q72" s="13" t="s">
        <v>55</v>
      </c>
      <c r="R72" s="13" t="s">
        <v>56</v>
      </c>
    </row>
    <row r="73" spans="1:18" x14ac:dyDescent="0.25">
      <c r="A73" s="13" t="s">
        <v>57</v>
      </c>
      <c r="B73" s="12">
        <v>2</v>
      </c>
      <c r="C73" s="12">
        <v>1</v>
      </c>
      <c r="D73" s="12">
        <v>0</v>
      </c>
      <c r="E73" s="12">
        <v>4</v>
      </c>
      <c r="F73" s="12">
        <v>3</v>
      </c>
      <c r="G73" s="12">
        <v>2</v>
      </c>
      <c r="H73" s="12">
        <v>5</v>
      </c>
      <c r="I73" s="12">
        <v>4</v>
      </c>
      <c r="J73" s="12">
        <v>6</v>
      </c>
      <c r="K73" s="12">
        <v>5</v>
      </c>
      <c r="L73" s="12">
        <v>8</v>
      </c>
      <c r="M73" s="12">
        <v>7</v>
      </c>
      <c r="N73" s="12">
        <v>6</v>
      </c>
      <c r="O73" s="12">
        <v>10</v>
      </c>
      <c r="P73" s="12">
        <v>9</v>
      </c>
      <c r="Q73" s="12">
        <v>8</v>
      </c>
      <c r="R73" s="12">
        <v>10</v>
      </c>
    </row>
    <row r="74" spans="1:18" x14ac:dyDescent="0.25">
      <c r="A74" s="13" t="s">
        <v>58</v>
      </c>
      <c r="B74" s="12">
        <v>0</v>
      </c>
      <c r="C74" s="12">
        <v>1</v>
      </c>
      <c r="D74" s="12">
        <v>2</v>
      </c>
      <c r="E74" s="12">
        <v>0</v>
      </c>
      <c r="F74" s="12">
        <v>1</v>
      </c>
      <c r="G74" s="12">
        <v>2</v>
      </c>
      <c r="H74" s="12">
        <v>1</v>
      </c>
      <c r="I74" s="12">
        <v>2</v>
      </c>
      <c r="J74" s="12">
        <v>2</v>
      </c>
      <c r="K74" s="12">
        <v>3</v>
      </c>
      <c r="L74" s="12">
        <v>2</v>
      </c>
      <c r="M74" s="12">
        <v>3</v>
      </c>
      <c r="N74" s="12">
        <v>4</v>
      </c>
      <c r="O74" s="12">
        <v>2</v>
      </c>
      <c r="P74" s="12">
        <v>3</v>
      </c>
      <c r="Q74" s="12">
        <v>4</v>
      </c>
      <c r="R74" s="12">
        <v>4</v>
      </c>
    </row>
    <row r="75" spans="1:18" x14ac:dyDescent="0.25">
      <c r="A75" s="14" t="s">
        <v>22</v>
      </c>
      <c r="B75" s="11">
        <f t="shared" ref="B75:R75" si="38">B$56*$T38+B$57*$U38</f>
        <v>97779</v>
      </c>
      <c r="C75" s="11">
        <f t="shared" si="38"/>
        <v>114481.5</v>
      </c>
      <c r="D75" s="11">
        <f t="shared" si="38"/>
        <v>131184</v>
      </c>
      <c r="E75" s="11">
        <f t="shared" si="38"/>
        <v>195558</v>
      </c>
      <c r="F75" s="11">
        <f t="shared" si="38"/>
        <v>212260.5</v>
      </c>
      <c r="G75" s="11">
        <f t="shared" si="38"/>
        <v>228963</v>
      </c>
      <c r="H75" s="11">
        <f t="shared" si="38"/>
        <v>310039.5</v>
      </c>
      <c r="I75" s="11">
        <f t="shared" si="38"/>
        <v>326742</v>
      </c>
      <c r="J75" s="11">
        <f t="shared" si="38"/>
        <v>424521</v>
      </c>
      <c r="K75" s="11">
        <f t="shared" si="38"/>
        <v>441223.5</v>
      </c>
      <c r="L75" s="11">
        <f t="shared" si="38"/>
        <v>522300</v>
      </c>
      <c r="M75" s="11">
        <f t="shared" si="38"/>
        <v>539002.5</v>
      </c>
      <c r="N75" s="11">
        <f t="shared" si="38"/>
        <v>555705</v>
      </c>
      <c r="O75" s="11">
        <f t="shared" si="38"/>
        <v>620079</v>
      </c>
      <c r="P75" s="11">
        <f t="shared" si="38"/>
        <v>636781.5</v>
      </c>
      <c r="Q75" s="11">
        <f t="shared" si="38"/>
        <v>653484</v>
      </c>
      <c r="R75" s="11">
        <f t="shared" si="38"/>
        <v>751263</v>
      </c>
    </row>
    <row r="76" spans="1:18" x14ac:dyDescent="0.25">
      <c r="A76" s="14" t="s">
        <v>23</v>
      </c>
      <c r="B76" s="11">
        <f t="shared" ref="B76:R76" si="39">B$56*$T39+B$57*$U39</f>
        <v>97779</v>
      </c>
      <c r="C76" s="11">
        <f t="shared" si="39"/>
        <v>114481.5</v>
      </c>
      <c r="D76" s="11">
        <f t="shared" si="39"/>
        <v>131184</v>
      </c>
      <c r="E76" s="11">
        <f t="shared" si="39"/>
        <v>195558</v>
      </c>
      <c r="F76" s="11">
        <f t="shared" si="39"/>
        <v>212260.5</v>
      </c>
      <c r="G76" s="11">
        <f t="shared" si="39"/>
        <v>228963</v>
      </c>
      <c r="H76" s="11">
        <f t="shared" si="39"/>
        <v>310039.5</v>
      </c>
      <c r="I76" s="11">
        <f t="shared" si="39"/>
        <v>326742</v>
      </c>
      <c r="J76" s="11">
        <f t="shared" si="39"/>
        <v>424521</v>
      </c>
      <c r="K76" s="11">
        <f t="shared" si="39"/>
        <v>441223.5</v>
      </c>
      <c r="L76" s="11">
        <f t="shared" si="39"/>
        <v>522300</v>
      </c>
      <c r="M76" s="11">
        <f t="shared" si="39"/>
        <v>539002.5</v>
      </c>
      <c r="N76" s="11">
        <f t="shared" si="39"/>
        <v>555705</v>
      </c>
      <c r="O76" s="11">
        <f t="shared" si="39"/>
        <v>620079</v>
      </c>
      <c r="P76" s="11">
        <f t="shared" si="39"/>
        <v>636781.5</v>
      </c>
      <c r="Q76" s="11">
        <f t="shared" si="39"/>
        <v>653484</v>
      </c>
      <c r="R76" s="11">
        <f t="shared" si="39"/>
        <v>751263</v>
      </c>
    </row>
    <row r="77" spans="1:18" x14ac:dyDescent="0.25">
      <c r="A77" s="14" t="s">
        <v>24</v>
      </c>
      <c r="B77" s="11">
        <f t="shared" ref="B77:R77" si="40">B$56*$T40+B$57*$U40</f>
        <v>98229</v>
      </c>
      <c r="C77" s="11">
        <f t="shared" si="40"/>
        <v>115006.5</v>
      </c>
      <c r="D77" s="11">
        <f t="shared" si="40"/>
        <v>131784</v>
      </c>
      <c r="E77" s="11">
        <f t="shared" si="40"/>
        <v>196458</v>
      </c>
      <c r="F77" s="11">
        <f t="shared" si="40"/>
        <v>213235.5</v>
      </c>
      <c r="G77" s="11">
        <f t="shared" si="40"/>
        <v>230013</v>
      </c>
      <c r="H77" s="11">
        <f t="shared" si="40"/>
        <v>311464.5</v>
      </c>
      <c r="I77" s="11">
        <f t="shared" si="40"/>
        <v>328242</v>
      </c>
      <c r="J77" s="11">
        <f t="shared" si="40"/>
        <v>426471</v>
      </c>
      <c r="K77" s="11">
        <f t="shared" si="40"/>
        <v>443248.5</v>
      </c>
      <c r="L77" s="11">
        <f t="shared" si="40"/>
        <v>524700</v>
      </c>
      <c r="M77" s="11">
        <f t="shared" si="40"/>
        <v>541477.5</v>
      </c>
      <c r="N77" s="11">
        <f t="shared" si="40"/>
        <v>558255</v>
      </c>
      <c r="O77" s="11">
        <f t="shared" si="40"/>
        <v>622929</v>
      </c>
      <c r="P77" s="11">
        <f t="shared" si="40"/>
        <v>639706.5</v>
      </c>
      <c r="Q77" s="11">
        <f t="shared" si="40"/>
        <v>656484</v>
      </c>
      <c r="R77" s="11">
        <f t="shared" si="40"/>
        <v>754713</v>
      </c>
    </row>
    <row r="78" spans="1:18" x14ac:dyDescent="0.25">
      <c r="A78" s="14" t="s">
        <v>25</v>
      </c>
      <c r="B78" s="11">
        <f t="shared" ref="B78:R78" si="41">B$56*$T41+B$57*$U41</f>
        <v>98295</v>
      </c>
      <c r="C78" s="11">
        <f t="shared" si="41"/>
        <v>115087.5</v>
      </c>
      <c r="D78" s="11">
        <f t="shared" si="41"/>
        <v>131880</v>
      </c>
      <c r="E78" s="11">
        <f t="shared" si="41"/>
        <v>196590</v>
      </c>
      <c r="F78" s="11">
        <f t="shared" si="41"/>
        <v>213382.5</v>
      </c>
      <c r="G78" s="11">
        <f t="shared" si="41"/>
        <v>230175</v>
      </c>
      <c r="H78" s="11">
        <f t="shared" si="41"/>
        <v>311677.5</v>
      </c>
      <c r="I78" s="11">
        <f t="shared" si="41"/>
        <v>328470</v>
      </c>
      <c r="J78" s="11">
        <f t="shared" si="41"/>
        <v>426765</v>
      </c>
      <c r="K78" s="11">
        <f t="shared" si="41"/>
        <v>443557.5</v>
      </c>
      <c r="L78" s="11">
        <f t="shared" si="41"/>
        <v>525060</v>
      </c>
      <c r="M78" s="11">
        <f t="shared" si="41"/>
        <v>541852.5</v>
      </c>
      <c r="N78" s="11">
        <f t="shared" si="41"/>
        <v>558645</v>
      </c>
      <c r="O78" s="11">
        <f t="shared" si="41"/>
        <v>623355</v>
      </c>
      <c r="P78" s="11">
        <f t="shared" si="41"/>
        <v>640147.5</v>
      </c>
      <c r="Q78" s="11">
        <f t="shared" si="41"/>
        <v>656940</v>
      </c>
      <c r="R78" s="11">
        <f t="shared" si="41"/>
        <v>755235</v>
      </c>
    </row>
    <row r="79" spans="1:18" x14ac:dyDescent="0.25">
      <c r="A79" s="14" t="s">
        <v>26</v>
      </c>
      <c r="B79" s="11">
        <f t="shared" ref="B79:R79" si="42">B$56*$T42+B$57*$U42</f>
        <v>100473</v>
      </c>
      <c r="C79" s="11">
        <f t="shared" si="42"/>
        <v>117640.5</v>
      </c>
      <c r="D79" s="11">
        <f t="shared" si="42"/>
        <v>134808</v>
      </c>
      <c r="E79" s="11">
        <f t="shared" si="42"/>
        <v>200946</v>
      </c>
      <c r="F79" s="11">
        <f t="shared" si="42"/>
        <v>218113.5</v>
      </c>
      <c r="G79" s="11">
        <f t="shared" si="42"/>
        <v>235281</v>
      </c>
      <c r="H79" s="11">
        <f t="shared" si="42"/>
        <v>318586.5</v>
      </c>
      <c r="I79" s="11">
        <f t="shared" si="42"/>
        <v>335754</v>
      </c>
      <c r="J79" s="11">
        <f t="shared" si="42"/>
        <v>436227</v>
      </c>
      <c r="K79" s="11">
        <f t="shared" si="42"/>
        <v>453394.5</v>
      </c>
      <c r="L79" s="11">
        <f t="shared" si="42"/>
        <v>536700</v>
      </c>
      <c r="M79" s="11">
        <f t="shared" si="42"/>
        <v>553867.5</v>
      </c>
      <c r="N79" s="11">
        <f t="shared" si="42"/>
        <v>571035</v>
      </c>
      <c r="O79" s="11">
        <f t="shared" si="42"/>
        <v>637173</v>
      </c>
      <c r="P79" s="11">
        <f t="shared" si="42"/>
        <v>654340.5</v>
      </c>
      <c r="Q79" s="11">
        <f t="shared" si="42"/>
        <v>671508</v>
      </c>
      <c r="R79" s="11">
        <f t="shared" si="42"/>
        <v>771981</v>
      </c>
    </row>
    <row r="80" spans="1:18" x14ac:dyDescent="0.25">
      <c r="A80" s="14" t="s">
        <v>27</v>
      </c>
      <c r="B80" s="11">
        <f t="shared" ref="B80:R80" si="43">B$56*$T43+B$57*$U43</f>
        <v>103428</v>
      </c>
      <c r="C80" s="11">
        <f t="shared" si="43"/>
        <v>121098</v>
      </c>
      <c r="D80" s="11">
        <f t="shared" si="43"/>
        <v>138768</v>
      </c>
      <c r="E80" s="11">
        <f t="shared" si="43"/>
        <v>206856</v>
      </c>
      <c r="F80" s="11">
        <f t="shared" si="43"/>
        <v>224526</v>
      </c>
      <c r="G80" s="11">
        <f t="shared" si="43"/>
        <v>242196</v>
      </c>
      <c r="H80" s="11">
        <f t="shared" si="43"/>
        <v>327954</v>
      </c>
      <c r="I80" s="11">
        <f t="shared" si="43"/>
        <v>345624</v>
      </c>
      <c r="J80" s="11">
        <f t="shared" si="43"/>
        <v>449052</v>
      </c>
      <c r="K80" s="11">
        <f t="shared" si="43"/>
        <v>466722</v>
      </c>
      <c r="L80" s="11">
        <f t="shared" si="43"/>
        <v>552480</v>
      </c>
      <c r="M80" s="11">
        <f t="shared" si="43"/>
        <v>570150</v>
      </c>
      <c r="N80" s="11">
        <f t="shared" si="43"/>
        <v>587820</v>
      </c>
      <c r="O80" s="11">
        <f t="shared" si="43"/>
        <v>655908</v>
      </c>
      <c r="P80" s="11">
        <f t="shared" si="43"/>
        <v>673578</v>
      </c>
      <c r="Q80" s="11">
        <f t="shared" si="43"/>
        <v>691248</v>
      </c>
      <c r="R80" s="11">
        <f t="shared" si="43"/>
        <v>794676</v>
      </c>
    </row>
    <row r="81" spans="1:18" x14ac:dyDescent="0.25">
      <c r="A81" s="14" t="s">
        <v>28</v>
      </c>
      <c r="B81" s="11">
        <f t="shared" ref="B81:R81" si="44">B$56*$T44+B$57*$U44</f>
        <v>104115</v>
      </c>
      <c r="C81" s="11">
        <f t="shared" si="44"/>
        <v>121897.5</v>
      </c>
      <c r="D81" s="11">
        <f t="shared" si="44"/>
        <v>139680</v>
      </c>
      <c r="E81" s="11">
        <f t="shared" si="44"/>
        <v>208230</v>
      </c>
      <c r="F81" s="11">
        <f t="shared" si="44"/>
        <v>226012.5</v>
      </c>
      <c r="G81" s="11">
        <f t="shared" si="44"/>
        <v>243795</v>
      </c>
      <c r="H81" s="11">
        <f t="shared" si="44"/>
        <v>330127.5</v>
      </c>
      <c r="I81" s="11">
        <f t="shared" si="44"/>
        <v>347910</v>
      </c>
      <c r="J81" s="11">
        <f t="shared" si="44"/>
        <v>452025</v>
      </c>
      <c r="K81" s="11">
        <f t="shared" si="44"/>
        <v>469807.5</v>
      </c>
      <c r="L81" s="11">
        <f t="shared" si="44"/>
        <v>556140</v>
      </c>
      <c r="M81" s="11">
        <f t="shared" si="44"/>
        <v>573922.5</v>
      </c>
      <c r="N81" s="11">
        <f t="shared" si="44"/>
        <v>591705</v>
      </c>
      <c r="O81" s="11">
        <f t="shared" si="44"/>
        <v>660255</v>
      </c>
      <c r="P81" s="11">
        <f t="shared" si="44"/>
        <v>678037.5</v>
      </c>
      <c r="Q81" s="11">
        <f t="shared" si="44"/>
        <v>695820</v>
      </c>
      <c r="R81" s="11">
        <f t="shared" si="44"/>
        <v>799935</v>
      </c>
    </row>
    <row r="82" spans="1:18" x14ac:dyDescent="0.25">
      <c r="A82" s="14" t="s">
        <v>29</v>
      </c>
      <c r="B82" s="11">
        <f t="shared" ref="B82:R82" si="45">B$56*$T45+B$57*$U45</f>
        <v>99039</v>
      </c>
      <c r="C82" s="11">
        <f t="shared" si="45"/>
        <v>115951.5</v>
      </c>
      <c r="D82" s="11">
        <f t="shared" si="45"/>
        <v>132864</v>
      </c>
      <c r="E82" s="11">
        <f t="shared" si="45"/>
        <v>198078</v>
      </c>
      <c r="F82" s="11">
        <f t="shared" si="45"/>
        <v>214990.5</v>
      </c>
      <c r="G82" s="11">
        <f t="shared" si="45"/>
        <v>231903</v>
      </c>
      <c r="H82" s="11">
        <f t="shared" si="45"/>
        <v>314029.5</v>
      </c>
      <c r="I82" s="11">
        <f t="shared" si="45"/>
        <v>330942</v>
      </c>
      <c r="J82" s="11">
        <f t="shared" si="45"/>
        <v>429981</v>
      </c>
      <c r="K82" s="11">
        <f t="shared" si="45"/>
        <v>446893.5</v>
      </c>
      <c r="L82" s="11">
        <f t="shared" si="45"/>
        <v>529020</v>
      </c>
      <c r="M82" s="11">
        <f t="shared" si="45"/>
        <v>545932.5</v>
      </c>
      <c r="N82" s="11">
        <f t="shared" si="45"/>
        <v>562845</v>
      </c>
      <c r="O82" s="11">
        <f t="shared" si="45"/>
        <v>628059</v>
      </c>
      <c r="P82" s="11">
        <f t="shared" si="45"/>
        <v>644971.5</v>
      </c>
      <c r="Q82" s="11">
        <f t="shared" si="45"/>
        <v>661884</v>
      </c>
      <c r="R82" s="11">
        <f t="shared" si="45"/>
        <v>760923</v>
      </c>
    </row>
    <row r="83" spans="1:18" x14ac:dyDescent="0.25">
      <c r="A83" s="14" t="s">
        <v>30</v>
      </c>
      <c r="B83" s="11">
        <f t="shared" ref="B83:R83" si="46">B$56*$T46+B$57*$U46</f>
        <v>102912</v>
      </c>
      <c r="C83" s="11">
        <f t="shared" si="46"/>
        <v>120492</v>
      </c>
      <c r="D83" s="11">
        <f t="shared" si="46"/>
        <v>138072</v>
      </c>
      <c r="E83" s="11">
        <f t="shared" si="46"/>
        <v>205824</v>
      </c>
      <c r="F83" s="11">
        <f t="shared" si="46"/>
        <v>223404</v>
      </c>
      <c r="G83" s="11">
        <f t="shared" si="46"/>
        <v>240984</v>
      </c>
      <c r="H83" s="11">
        <f t="shared" si="46"/>
        <v>326316</v>
      </c>
      <c r="I83" s="11">
        <f t="shared" si="46"/>
        <v>343896</v>
      </c>
      <c r="J83" s="11">
        <f t="shared" si="46"/>
        <v>446808</v>
      </c>
      <c r="K83" s="11">
        <f t="shared" si="46"/>
        <v>464388</v>
      </c>
      <c r="L83" s="11">
        <f t="shared" si="46"/>
        <v>549720</v>
      </c>
      <c r="M83" s="11">
        <f t="shared" si="46"/>
        <v>567300</v>
      </c>
      <c r="N83" s="11">
        <f t="shared" si="46"/>
        <v>584880</v>
      </c>
      <c r="O83" s="11">
        <f t="shared" si="46"/>
        <v>652632</v>
      </c>
      <c r="P83" s="11">
        <f t="shared" si="46"/>
        <v>670212</v>
      </c>
      <c r="Q83" s="11">
        <f t="shared" si="46"/>
        <v>687792</v>
      </c>
      <c r="R83" s="11">
        <f t="shared" si="46"/>
        <v>790704</v>
      </c>
    </row>
    <row r="84" spans="1:18" x14ac:dyDescent="0.25">
      <c r="A84" s="14" t="s">
        <v>31</v>
      </c>
      <c r="B84" s="11">
        <f t="shared" ref="B84:R84" si="47">B$56*$T47+B$57*$U47</f>
        <v>105957</v>
      </c>
      <c r="C84" s="11">
        <f t="shared" si="47"/>
        <v>124054.5</v>
      </c>
      <c r="D84" s="11">
        <f t="shared" si="47"/>
        <v>142152</v>
      </c>
      <c r="E84" s="11">
        <f t="shared" si="47"/>
        <v>211914</v>
      </c>
      <c r="F84" s="11">
        <f t="shared" si="47"/>
        <v>230011.5</v>
      </c>
      <c r="G84" s="11">
        <f t="shared" si="47"/>
        <v>248109</v>
      </c>
      <c r="H84" s="11">
        <f t="shared" si="47"/>
        <v>335968.5</v>
      </c>
      <c r="I84" s="11">
        <f t="shared" si="47"/>
        <v>354066</v>
      </c>
      <c r="J84" s="11">
        <f t="shared" si="47"/>
        <v>460023</v>
      </c>
      <c r="K84" s="11">
        <f t="shared" si="47"/>
        <v>478120.5</v>
      </c>
      <c r="L84" s="11">
        <f t="shared" si="47"/>
        <v>565980</v>
      </c>
      <c r="M84" s="11">
        <f t="shared" si="47"/>
        <v>584077.5</v>
      </c>
      <c r="N84" s="11">
        <f t="shared" si="47"/>
        <v>602175</v>
      </c>
      <c r="O84" s="11">
        <f t="shared" si="47"/>
        <v>671937</v>
      </c>
      <c r="P84" s="11">
        <f t="shared" si="47"/>
        <v>690034.5</v>
      </c>
      <c r="Q84" s="11">
        <f t="shared" si="47"/>
        <v>708132</v>
      </c>
      <c r="R84" s="11">
        <f t="shared" si="47"/>
        <v>814089</v>
      </c>
    </row>
    <row r="85" spans="1:18" x14ac:dyDescent="0.25">
      <c r="A85" s="14" t="s">
        <v>32</v>
      </c>
      <c r="B85" s="11">
        <f t="shared" ref="B85:R85" si="48">B$56*$T48+B$57*$U48</f>
        <v>107406</v>
      </c>
      <c r="C85" s="11">
        <f t="shared" si="48"/>
        <v>125751</v>
      </c>
      <c r="D85" s="11">
        <f t="shared" si="48"/>
        <v>144096</v>
      </c>
      <c r="E85" s="11">
        <f t="shared" si="48"/>
        <v>214812</v>
      </c>
      <c r="F85" s="11">
        <f t="shared" si="48"/>
        <v>233157</v>
      </c>
      <c r="G85" s="11">
        <f t="shared" si="48"/>
        <v>251502</v>
      </c>
      <c r="H85" s="11">
        <f t="shared" si="48"/>
        <v>340563</v>
      </c>
      <c r="I85" s="11">
        <f t="shared" si="48"/>
        <v>358908</v>
      </c>
      <c r="J85" s="11">
        <f t="shared" si="48"/>
        <v>466314</v>
      </c>
      <c r="K85" s="11">
        <f t="shared" si="48"/>
        <v>484659</v>
      </c>
      <c r="L85" s="11">
        <f t="shared" si="48"/>
        <v>573720</v>
      </c>
      <c r="M85" s="11">
        <f t="shared" si="48"/>
        <v>592065</v>
      </c>
      <c r="N85" s="11">
        <f t="shared" si="48"/>
        <v>610410</v>
      </c>
      <c r="O85" s="11">
        <f t="shared" si="48"/>
        <v>681126</v>
      </c>
      <c r="P85" s="11">
        <f t="shared" si="48"/>
        <v>699471</v>
      </c>
      <c r="Q85" s="11">
        <f t="shared" si="48"/>
        <v>717816</v>
      </c>
      <c r="R85" s="11">
        <f t="shared" si="48"/>
        <v>825222</v>
      </c>
    </row>
    <row r="86" spans="1:18" ht="30" customHeight="1" x14ac:dyDescent="0.25">
      <c r="A86" s="14" t="s">
        <v>47</v>
      </c>
      <c r="B86" s="11">
        <f t="shared" ref="B86:R86" si="49">B$56*$T49+B$57*$U49</f>
        <v>1605</v>
      </c>
      <c r="C86" s="11">
        <f t="shared" si="49"/>
        <v>802.5</v>
      </c>
      <c r="D86" s="11">
        <f t="shared" si="49"/>
        <v>0</v>
      </c>
      <c r="E86" s="11">
        <f t="shared" si="49"/>
        <v>3210</v>
      </c>
      <c r="F86" s="11">
        <f t="shared" si="49"/>
        <v>2407.5</v>
      </c>
      <c r="G86" s="11">
        <f t="shared" si="49"/>
        <v>1605</v>
      </c>
      <c r="H86" s="11">
        <f t="shared" si="49"/>
        <v>4012.5</v>
      </c>
      <c r="I86" s="11">
        <f t="shared" si="49"/>
        <v>3210</v>
      </c>
      <c r="J86" s="11">
        <f t="shared" si="49"/>
        <v>4815</v>
      </c>
      <c r="K86" s="11">
        <f t="shared" si="49"/>
        <v>4012.5</v>
      </c>
      <c r="L86" s="11">
        <f t="shared" si="49"/>
        <v>6420</v>
      </c>
      <c r="M86" s="11">
        <f t="shared" si="49"/>
        <v>5617.5</v>
      </c>
      <c r="N86" s="11">
        <f t="shared" si="49"/>
        <v>4815</v>
      </c>
      <c r="O86" s="11">
        <f t="shared" si="49"/>
        <v>8025</v>
      </c>
      <c r="P86" s="11">
        <f t="shared" si="49"/>
        <v>7222.5</v>
      </c>
      <c r="Q86" s="11">
        <f t="shared" si="49"/>
        <v>6420</v>
      </c>
      <c r="R86" s="11">
        <f t="shared" si="49"/>
        <v>8025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86"/>
  <sheetViews>
    <sheetView workbookViewId="0">
      <selection activeCell="I26" sqref="I26"/>
    </sheetView>
  </sheetViews>
  <sheetFormatPr defaultColWidth="11" defaultRowHeight="15" x14ac:dyDescent="0.25"/>
  <cols>
    <col min="1" max="1" width="21" customWidth="1"/>
    <col min="2" max="5" width="14.875" customWidth="1"/>
    <col min="6" max="6" width="35.125" customWidth="1"/>
    <col min="14" max="14" width="11.375" customWidth="1"/>
  </cols>
  <sheetData>
    <row r="1" spans="1:23" x14ac:dyDescent="0.25">
      <c r="A1" s="7" t="s">
        <v>61</v>
      </c>
      <c r="B1" s="7">
        <f>Töflur!B2</f>
        <v>2026</v>
      </c>
    </row>
    <row r="2" spans="1:23" x14ac:dyDescent="0.25">
      <c r="A2" s="7" t="s">
        <v>2</v>
      </c>
      <c r="B2" s="7" t="str">
        <f>Töflur!B4</f>
        <v>Án orlofs</v>
      </c>
      <c r="C2" s="7">
        <f>VLOOKUP(B2,Leiðsögn!$Z$6:$AA$9,2,FALSE)</f>
        <v>0</v>
      </c>
    </row>
    <row r="5" spans="1:23" x14ac:dyDescent="0.25">
      <c r="A5" s="7" t="s">
        <v>1</v>
      </c>
      <c r="C5" s="24" t="s">
        <v>13</v>
      </c>
      <c r="D5" s="25"/>
      <c r="E5" s="25"/>
      <c r="F5" s="25"/>
      <c r="I5" s="7" t="s">
        <v>16</v>
      </c>
      <c r="R5" s="7" t="s">
        <v>47</v>
      </c>
    </row>
    <row r="6" spans="1:23" x14ac:dyDescent="0.25">
      <c r="B6" s="9" t="s">
        <v>16</v>
      </c>
      <c r="C6" s="9" t="s">
        <v>62</v>
      </c>
      <c r="D6" s="9" t="s">
        <v>63</v>
      </c>
      <c r="E6" s="9" t="s">
        <v>64</v>
      </c>
      <c r="F6" s="9" t="s">
        <v>65</v>
      </c>
      <c r="J6" s="10" t="s">
        <v>66</v>
      </c>
      <c r="K6" s="10">
        <v>2024</v>
      </c>
      <c r="L6" s="10">
        <v>2025</v>
      </c>
      <c r="M6" s="10" t="s">
        <v>10</v>
      </c>
      <c r="N6" s="10">
        <v>2026</v>
      </c>
      <c r="O6" s="26" t="s">
        <v>82</v>
      </c>
      <c r="P6" s="10">
        <v>2027</v>
      </c>
      <c r="R6" s="7" t="s">
        <v>66</v>
      </c>
      <c r="S6" s="7">
        <v>2024</v>
      </c>
      <c r="T6" s="7">
        <v>2025</v>
      </c>
      <c r="U6" s="7">
        <v>2026</v>
      </c>
      <c r="V6" t="s">
        <v>82</v>
      </c>
      <c r="W6" s="7">
        <v>2027</v>
      </c>
    </row>
    <row r="7" spans="1:23" x14ac:dyDescent="0.25">
      <c r="A7" s="7" t="s">
        <v>22</v>
      </c>
      <c r="B7" s="1">
        <f>INDEX($J$7:$P$17,MATCH(A7,$I$7:$I$17,0),MATCH($B$1,$J$6:$P$6,0))</f>
        <v>789484</v>
      </c>
      <c r="C7" s="1">
        <f t="shared" ref="C7:C17" si="0">ROUND(B7/162.5,0)</f>
        <v>4858</v>
      </c>
      <c r="D7" s="1">
        <f t="shared" ref="D7:D17" si="1">ROUND(B7*0.010385,0)</f>
        <v>8199</v>
      </c>
      <c r="E7" s="1">
        <f t="shared" ref="E7:E17" si="2">ROUND(B7*0.01375,0)</f>
        <v>10855</v>
      </c>
      <c r="F7" s="1">
        <f>+C7+HLOOKUP($B$1,$R$6:$W$7,2,FALSE)</f>
        <v>4965</v>
      </c>
      <c r="I7" s="19" t="s">
        <v>22</v>
      </c>
      <c r="J7" s="1">
        <v>667006</v>
      </c>
      <c r="K7" s="1">
        <v>706390.5</v>
      </c>
      <c r="L7" s="1">
        <v>745774.5</v>
      </c>
      <c r="M7" s="1">
        <v>750099.99210000003</v>
      </c>
      <c r="N7" s="1">
        <v>789484</v>
      </c>
      <c r="O7" s="27">
        <v>789958</v>
      </c>
      <c r="P7" s="1">
        <v>827816.14650000003</v>
      </c>
      <c r="R7" s="18">
        <v>95</v>
      </c>
      <c r="S7" s="7">
        <v>99</v>
      </c>
      <c r="T7" s="7">
        <v>103</v>
      </c>
      <c r="U7" s="1">
        <v>107</v>
      </c>
      <c r="V7" s="1">
        <v>107</v>
      </c>
      <c r="W7" s="7">
        <v>110</v>
      </c>
    </row>
    <row r="8" spans="1:23" x14ac:dyDescent="0.25">
      <c r="A8" s="7" t="s">
        <v>23</v>
      </c>
      <c r="B8" s="1">
        <f>INDEX($J$7:$P$17,MATCH(A8,$I$7:$I$17,0),MATCH($B$1,$J$6:$P$6,0))</f>
        <v>789484</v>
      </c>
      <c r="C8" s="1">
        <f t="shared" si="0"/>
        <v>4858</v>
      </c>
      <c r="D8" s="1">
        <f t="shared" si="1"/>
        <v>8199</v>
      </c>
      <c r="E8" s="1">
        <f t="shared" si="2"/>
        <v>10855</v>
      </c>
      <c r="F8" s="1">
        <f>+C8+HLOOKUP($B$1,$R$6:$W$7,2,FALSE)</f>
        <v>4965</v>
      </c>
      <c r="I8" s="19" t="s">
        <v>23</v>
      </c>
      <c r="J8" s="1">
        <v>667006</v>
      </c>
      <c r="K8" s="1">
        <v>706390.5</v>
      </c>
      <c r="L8" s="1">
        <v>745774.5</v>
      </c>
      <c r="M8" s="1">
        <v>750099.99210000003</v>
      </c>
      <c r="N8" s="1">
        <v>789484</v>
      </c>
      <c r="O8" s="27">
        <v>789958</v>
      </c>
      <c r="P8" s="1">
        <v>827816.14650000003</v>
      </c>
    </row>
    <row r="9" spans="1:23" x14ac:dyDescent="0.25">
      <c r="A9" s="7" t="s">
        <v>24</v>
      </c>
      <c r="B9" s="1">
        <f>INDEX($J$7:$P$17,MATCH(A9,$I$7:$I$17,0),MATCH($B$1,$J$6:$P$6,0))</f>
        <v>793150.8</v>
      </c>
      <c r="C9" s="1">
        <f t="shared" si="0"/>
        <v>4881</v>
      </c>
      <c r="D9" s="1">
        <f t="shared" si="1"/>
        <v>8237</v>
      </c>
      <c r="E9" s="1">
        <f t="shared" si="2"/>
        <v>10906</v>
      </c>
      <c r="F9" s="1">
        <f>+C9+HLOOKUP($B$1,$R$6:$W$7,2,FALSE)</f>
        <v>4988</v>
      </c>
      <c r="I9" s="19" t="s">
        <v>24</v>
      </c>
      <c r="J9" s="1">
        <v>681907</v>
      </c>
      <c r="K9" s="1">
        <v>717532.5</v>
      </c>
      <c r="L9" s="1">
        <v>753157.5</v>
      </c>
      <c r="M9" s="1">
        <v>757525.81350000005</v>
      </c>
      <c r="N9" s="1">
        <v>793150.8</v>
      </c>
      <c r="O9" s="27">
        <v>793627</v>
      </c>
      <c r="P9" s="1">
        <v>831452.11349999998</v>
      </c>
    </row>
    <row r="10" spans="1:23" x14ac:dyDescent="0.25">
      <c r="A10" s="7" t="s">
        <v>25</v>
      </c>
      <c r="B10" s="1">
        <f>INDEX($J$7:$P$17,MATCH(A10,$I$7:$I$17,0),MATCH($B$1,$J$6:$P$6,0))</f>
        <v>793733.1</v>
      </c>
      <c r="C10" s="1">
        <f t="shared" si="0"/>
        <v>4885</v>
      </c>
      <c r="D10" s="1">
        <f t="shared" si="1"/>
        <v>8243</v>
      </c>
      <c r="E10" s="1">
        <f t="shared" si="2"/>
        <v>10914</v>
      </c>
      <c r="F10" s="1">
        <f>+C10+HLOOKUP($B$1,$R$6:$W$7,2,FALSE)</f>
        <v>4992</v>
      </c>
      <c r="I10" s="19" t="s">
        <v>25</v>
      </c>
      <c r="J10" s="1">
        <v>675927</v>
      </c>
      <c r="K10" s="1">
        <v>714337.5</v>
      </c>
      <c r="L10" s="1">
        <v>751914</v>
      </c>
      <c r="M10" s="1">
        <v>756275.10120000003</v>
      </c>
      <c r="N10" s="1">
        <v>793733.1</v>
      </c>
      <c r="O10" s="27">
        <v>794209</v>
      </c>
      <c r="P10" s="1">
        <v>832266.81149999995</v>
      </c>
    </row>
    <row r="11" spans="1:23" x14ac:dyDescent="0.25">
      <c r="A11" s="7" t="s">
        <v>26</v>
      </c>
      <c r="B11" s="1">
        <f>INDEX($J$7:$P$17,MATCH(A11,$I$7:$I$17,0),MATCH($B$1,$J$6:$P$6,0))</f>
        <v>811268.8</v>
      </c>
      <c r="C11" s="1">
        <f t="shared" si="0"/>
        <v>4992</v>
      </c>
      <c r="D11" s="1">
        <f t="shared" si="1"/>
        <v>8425</v>
      </c>
      <c r="E11" s="1">
        <f t="shared" si="2"/>
        <v>11155</v>
      </c>
      <c r="F11" s="1">
        <f>+C11+HLOOKUP($B$1,$R$6:$W$7,2,FALSE)</f>
        <v>5099</v>
      </c>
      <c r="I11" s="19" t="s">
        <v>26</v>
      </c>
      <c r="J11" s="1">
        <v>699921</v>
      </c>
      <c r="K11" s="1">
        <v>735546</v>
      </c>
      <c r="L11" s="1">
        <v>771171</v>
      </c>
      <c r="M11" s="1">
        <v>775643.79180000001</v>
      </c>
      <c r="N11" s="1">
        <v>811268.8</v>
      </c>
      <c r="O11" s="27">
        <v>811756</v>
      </c>
      <c r="P11" s="1">
        <v>847307.04180000001</v>
      </c>
    </row>
    <row r="12" spans="1:23" x14ac:dyDescent="0.25">
      <c r="A12" s="7" t="s">
        <v>27</v>
      </c>
      <c r="B12" s="1">
        <f>INDEX($J$7:$P$17,MATCH(A12,$I$7:$I$17,0),MATCH($B$1,$J$6:$P$6,0))</f>
        <v>835190.7</v>
      </c>
      <c r="C12" s="1">
        <f t="shared" si="0"/>
        <v>5140</v>
      </c>
      <c r="D12" s="1">
        <f t="shared" si="1"/>
        <v>8673</v>
      </c>
      <c r="E12" s="1">
        <f t="shared" si="2"/>
        <v>11484</v>
      </c>
      <c r="F12" s="1">
        <f>+C12+HLOOKUP($B$1,$R$6:$W$7,2,FALSE)</f>
        <v>5247</v>
      </c>
      <c r="I12" s="19" t="s">
        <v>27</v>
      </c>
      <c r="J12" s="1">
        <v>723705</v>
      </c>
      <c r="K12" s="1">
        <v>759330</v>
      </c>
      <c r="L12" s="1">
        <v>794955</v>
      </c>
      <c r="M12" s="1">
        <v>799565.73900000006</v>
      </c>
      <c r="N12" s="1">
        <v>835190.7</v>
      </c>
      <c r="O12" s="27">
        <v>835692</v>
      </c>
      <c r="P12" s="1">
        <v>871228.98900000006</v>
      </c>
    </row>
    <row r="13" spans="1:23" x14ac:dyDescent="0.25">
      <c r="A13" s="7" t="s">
        <v>28</v>
      </c>
      <c r="B13" s="1">
        <f>INDEX($J$7:$P$17,MATCH(A13,$I$7:$I$17,0),MATCH($B$1,$J$6:$P$6,0))</f>
        <v>840658.3</v>
      </c>
      <c r="C13" s="1">
        <f t="shared" si="0"/>
        <v>5173</v>
      </c>
      <c r="D13" s="1">
        <f t="shared" si="1"/>
        <v>8730</v>
      </c>
      <c r="E13" s="1">
        <f t="shared" si="2"/>
        <v>11559</v>
      </c>
      <c r="F13" s="1">
        <f>+C13+HLOOKUP($B$1,$R$6:$W$7,2,FALSE)</f>
        <v>5280</v>
      </c>
      <c r="I13" s="19" t="s">
        <v>28</v>
      </c>
      <c r="J13" s="1">
        <v>729141</v>
      </c>
      <c r="K13" s="1">
        <v>764766</v>
      </c>
      <c r="L13" s="1">
        <v>800391</v>
      </c>
      <c r="M13" s="1">
        <v>805033.26780000003</v>
      </c>
      <c r="N13" s="1">
        <v>840658.3</v>
      </c>
      <c r="O13" s="27">
        <v>841163</v>
      </c>
      <c r="P13" s="1">
        <v>876696.51780000015</v>
      </c>
    </row>
    <row r="14" spans="1:23" x14ac:dyDescent="0.25">
      <c r="A14" s="7" t="s">
        <v>29</v>
      </c>
      <c r="B14" s="1">
        <f>INDEX($J$7:$P$17,MATCH(A14,$I$7:$I$17,0),MATCH($B$1,$J$6:$P$6,0))</f>
        <v>799660.9</v>
      </c>
      <c r="C14" s="1">
        <f t="shared" si="0"/>
        <v>4921</v>
      </c>
      <c r="D14" s="1">
        <f t="shared" si="1"/>
        <v>8304</v>
      </c>
      <c r="E14" s="1">
        <f t="shared" si="2"/>
        <v>10995</v>
      </c>
      <c r="F14" s="1">
        <f>+C14+HLOOKUP($B$1,$R$6:$W$7,2,FALSE)</f>
        <v>5028</v>
      </c>
      <c r="I14" s="19" t="s">
        <v>29</v>
      </c>
      <c r="J14" s="1">
        <v>688380</v>
      </c>
      <c r="K14" s="1">
        <v>724005</v>
      </c>
      <c r="L14" s="1">
        <v>759630</v>
      </c>
      <c r="M14" s="1">
        <v>764035.85400000005</v>
      </c>
      <c r="N14" s="1">
        <v>799660.9</v>
      </c>
      <c r="O14" s="27">
        <v>800141</v>
      </c>
      <c r="P14" s="1">
        <v>835699.10400000017</v>
      </c>
    </row>
    <row r="15" spans="1:23" x14ac:dyDescent="0.25">
      <c r="A15" s="7" t="s">
        <v>30</v>
      </c>
      <c r="B15" s="1">
        <f>INDEX($J$7:$P$17,MATCH(A15,$I$7:$I$17,0),MATCH($B$1,$J$6:$P$6,0))</f>
        <v>830954.3</v>
      </c>
      <c r="C15" s="1">
        <f t="shared" si="0"/>
        <v>5114</v>
      </c>
      <c r="D15" s="1">
        <f t="shared" si="1"/>
        <v>8629</v>
      </c>
      <c r="E15" s="1">
        <f t="shared" si="2"/>
        <v>11426</v>
      </c>
      <c r="F15" s="1">
        <f>+C15+HLOOKUP($B$1,$R$6:$W$7,2,FALSE)</f>
        <v>5221</v>
      </c>
      <c r="I15" s="19" t="s">
        <v>30</v>
      </c>
      <c r="J15" s="1">
        <v>719493</v>
      </c>
      <c r="K15" s="1">
        <v>755118</v>
      </c>
      <c r="L15" s="1">
        <v>790743</v>
      </c>
      <c r="M15" s="1">
        <v>795329.30940000003</v>
      </c>
      <c r="N15" s="1">
        <v>830954.3</v>
      </c>
      <c r="O15" s="27">
        <v>831453</v>
      </c>
      <c r="P15" s="1">
        <v>866992.55940000014</v>
      </c>
    </row>
    <row r="16" spans="1:23" x14ac:dyDescent="0.25">
      <c r="A16" s="7" t="s">
        <v>31</v>
      </c>
      <c r="B16" s="1">
        <f>INDEX($J$7:$P$17,MATCH(A16,$I$7:$I$17,0),MATCH($B$1,$J$6:$P$6,0))</f>
        <v>855544.6</v>
      </c>
      <c r="C16" s="1">
        <f t="shared" si="0"/>
        <v>5265</v>
      </c>
      <c r="D16" s="1">
        <f t="shared" si="1"/>
        <v>8885</v>
      </c>
      <c r="E16" s="1">
        <f t="shared" si="2"/>
        <v>11764</v>
      </c>
      <c r="F16" s="1">
        <f>+C16+HLOOKUP($B$1,$R$6:$W$7,2,FALSE)</f>
        <v>5372</v>
      </c>
      <c r="I16" s="19" t="s">
        <v>31</v>
      </c>
      <c r="J16" s="1">
        <v>743941</v>
      </c>
      <c r="K16" s="1">
        <v>779566.5</v>
      </c>
      <c r="L16" s="1">
        <v>815191.5</v>
      </c>
      <c r="M16" s="1">
        <v>819919.61070000008</v>
      </c>
      <c r="N16" s="1">
        <v>855544.6</v>
      </c>
      <c r="O16" s="27">
        <v>856058</v>
      </c>
      <c r="P16" s="1">
        <v>891582.86070000008</v>
      </c>
    </row>
    <row r="17" spans="1:16" x14ac:dyDescent="0.25">
      <c r="A17" s="7" t="s">
        <v>32</v>
      </c>
      <c r="B17" s="1">
        <f>INDEX($J$7:$P$17,MATCH(A17,$I$7:$I$17,0),MATCH($B$1,$J$6:$P$6,0))</f>
        <v>867186.3</v>
      </c>
      <c r="C17" s="1">
        <f t="shared" si="0"/>
        <v>5337</v>
      </c>
      <c r="D17" s="1">
        <f t="shared" si="1"/>
        <v>9006</v>
      </c>
      <c r="E17" s="1">
        <f t="shared" si="2"/>
        <v>11924</v>
      </c>
      <c r="F17" s="1">
        <f>+C17+HLOOKUP($B$1,$R$6:$W$7,2,FALSE)</f>
        <v>5444</v>
      </c>
      <c r="I17" s="19" t="s">
        <v>32</v>
      </c>
      <c r="J17" s="1">
        <v>749529</v>
      </c>
      <c r="K17" s="1">
        <v>786654</v>
      </c>
      <c r="L17" s="1">
        <v>824529</v>
      </c>
      <c r="M17" s="1">
        <v>829311.26820000005</v>
      </c>
      <c r="N17" s="1">
        <v>867186.3</v>
      </c>
      <c r="O17" s="27">
        <v>867707</v>
      </c>
      <c r="P17" s="1">
        <v>905500.61820000003</v>
      </c>
    </row>
    <row r="20" spans="1:16" x14ac:dyDescent="0.25">
      <c r="A20" s="7" t="s">
        <v>67</v>
      </c>
    </row>
    <row r="21" spans="1:16" x14ac:dyDescent="0.25">
      <c r="B21" s="9" t="s">
        <v>16</v>
      </c>
      <c r="C21" s="9" t="s">
        <v>62</v>
      </c>
      <c r="D21" s="9" t="s">
        <v>63</v>
      </c>
      <c r="E21" s="9" t="s">
        <v>64</v>
      </c>
      <c r="F21" s="9" t="s">
        <v>65</v>
      </c>
    </row>
    <row r="22" spans="1:16" x14ac:dyDescent="0.25">
      <c r="A22" s="7" t="s">
        <v>22</v>
      </c>
      <c r="B22" s="1">
        <f t="shared" ref="B22:B32" si="3">B7*(1+$C$2)</f>
        <v>789484</v>
      </c>
      <c r="C22" s="1">
        <f t="shared" ref="C22:C32" si="4">ROUND(B22/162.5,0)</f>
        <v>4858</v>
      </c>
      <c r="D22" s="1">
        <f t="shared" ref="D22:D32" si="5">ROUND(B22*0.010385,0)</f>
        <v>8199</v>
      </c>
      <c r="E22" s="1">
        <f t="shared" ref="E22:E32" si="6">ROUND(B22*0.01375,0)</f>
        <v>10855</v>
      </c>
      <c r="F22" s="1">
        <f>+C22+HLOOKUP($B$1,$R$6:$W$7,2,FALSE)</f>
        <v>4965</v>
      </c>
    </row>
    <row r="23" spans="1:16" x14ac:dyDescent="0.25">
      <c r="A23" s="7" t="s">
        <v>23</v>
      </c>
      <c r="B23" s="1">
        <f t="shared" si="3"/>
        <v>789484</v>
      </c>
      <c r="C23" s="1">
        <f t="shared" si="4"/>
        <v>4858</v>
      </c>
      <c r="D23" s="1">
        <f t="shared" si="5"/>
        <v>8199</v>
      </c>
      <c r="E23" s="1">
        <f t="shared" si="6"/>
        <v>10855</v>
      </c>
      <c r="F23" s="1">
        <f>+C23+HLOOKUP($B$1,$R$6:$W$7,2,FALSE)</f>
        <v>4965</v>
      </c>
    </row>
    <row r="24" spans="1:16" x14ac:dyDescent="0.25">
      <c r="A24" s="7" t="s">
        <v>24</v>
      </c>
      <c r="B24" s="1">
        <f t="shared" si="3"/>
        <v>793150.8</v>
      </c>
      <c r="C24" s="1">
        <f t="shared" si="4"/>
        <v>4881</v>
      </c>
      <c r="D24" s="1">
        <f t="shared" si="5"/>
        <v>8237</v>
      </c>
      <c r="E24" s="1">
        <f t="shared" si="6"/>
        <v>10906</v>
      </c>
      <c r="F24" s="1">
        <f>+C24+HLOOKUP($B$1,$R$6:$W$7,2,FALSE)</f>
        <v>4988</v>
      </c>
    </row>
    <row r="25" spans="1:16" x14ac:dyDescent="0.25">
      <c r="A25" s="7" t="s">
        <v>25</v>
      </c>
      <c r="B25" s="1">
        <f t="shared" si="3"/>
        <v>793733.1</v>
      </c>
      <c r="C25" s="1">
        <f t="shared" si="4"/>
        <v>4885</v>
      </c>
      <c r="D25" s="1">
        <f t="shared" si="5"/>
        <v>8243</v>
      </c>
      <c r="E25" s="1">
        <f t="shared" si="6"/>
        <v>10914</v>
      </c>
      <c r="F25" s="1">
        <f>+C25+HLOOKUP($B$1,$R$6:$W$7,2,FALSE)</f>
        <v>4992</v>
      </c>
    </row>
    <row r="26" spans="1:16" x14ac:dyDescent="0.25">
      <c r="A26" s="7" t="s">
        <v>26</v>
      </c>
      <c r="B26" s="1">
        <f t="shared" si="3"/>
        <v>811268.8</v>
      </c>
      <c r="C26" s="1">
        <f t="shared" si="4"/>
        <v>4992</v>
      </c>
      <c r="D26" s="1">
        <f t="shared" si="5"/>
        <v>8425</v>
      </c>
      <c r="E26" s="1">
        <f t="shared" si="6"/>
        <v>11155</v>
      </c>
      <c r="F26" s="1">
        <f>+C26+HLOOKUP($B$1,$R$6:$W$7,2,FALSE)</f>
        <v>5099</v>
      </c>
    </row>
    <row r="27" spans="1:16" x14ac:dyDescent="0.25">
      <c r="A27" s="7" t="s">
        <v>27</v>
      </c>
      <c r="B27" s="1">
        <f t="shared" si="3"/>
        <v>835190.7</v>
      </c>
      <c r="C27" s="1">
        <f t="shared" si="4"/>
        <v>5140</v>
      </c>
      <c r="D27" s="1">
        <f t="shared" si="5"/>
        <v>8673</v>
      </c>
      <c r="E27" s="1">
        <f t="shared" si="6"/>
        <v>11484</v>
      </c>
      <c r="F27" s="1">
        <f>+C27+HLOOKUP($B$1,$R$6:$W$7,2,FALSE)</f>
        <v>5247</v>
      </c>
    </row>
    <row r="28" spans="1:16" x14ac:dyDescent="0.25">
      <c r="A28" s="7" t="s">
        <v>28</v>
      </c>
      <c r="B28" s="1">
        <f t="shared" si="3"/>
        <v>840658.3</v>
      </c>
      <c r="C28" s="1">
        <f t="shared" si="4"/>
        <v>5173</v>
      </c>
      <c r="D28" s="1">
        <f t="shared" si="5"/>
        <v>8730</v>
      </c>
      <c r="E28" s="1">
        <f t="shared" si="6"/>
        <v>11559</v>
      </c>
      <c r="F28" s="1">
        <f>+C28+HLOOKUP($B$1,$R$6:$W$7,2,FALSE)</f>
        <v>5280</v>
      </c>
    </row>
    <row r="29" spans="1:16" x14ac:dyDescent="0.25">
      <c r="A29" s="7" t="s">
        <v>29</v>
      </c>
      <c r="B29" s="1">
        <f t="shared" si="3"/>
        <v>799660.9</v>
      </c>
      <c r="C29" s="1">
        <f t="shared" si="4"/>
        <v>4921</v>
      </c>
      <c r="D29" s="1">
        <f t="shared" si="5"/>
        <v>8304</v>
      </c>
      <c r="E29" s="1">
        <f t="shared" si="6"/>
        <v>10995</v>
      </c>
      <c r="F29" s="1">
        <f>+C29+HLOOKUP($B$1,$R$6:$W$7,2,FALSE)</f>
        <v>5028</v>
      </c>
    </row>
    <row r="30" spans="1:16" x14ac:dyDescent="0.25">
      <c r="A30" s="7" t="s">
        <v>30</v>
      </c>
      <c r="B30" s="1">
        <f t="shared" si="3"/>
        <v>830954.3</v>
      </c>
      <c r="C30" s="1">
        <f t="shared" si="4"/>
        <v>5114</v>
      </c>
      <c r="D30" s="1">
        <f t="shared" si="5"/>
        <v>8629</v>
      </c>
      <c r="E30" s="1">
        <f t="shared" si="6"/>
        <v>11426</v>
      </c>
      <c r="F30" s="1">
        <f>+C30+HLOOKUP($B$1,$R$6:$W$7,2,FALSE)</f>
        <v>5221</v>
      </c>
    </row>
    <row r="31" spans="1:16" x14ac:dyDescent="0.25">
      <c r="A31" s="7" t="s">
        <v>31</v>
      </c>
      <c r="B31" s="1">
        <f t="shared" si="3"/>
        <v>855544.6</v>
      </c>
      <c r="C31" s="1">
        <f t="shared" si="4"/>
        <v>5265</v>
      </c>
      <c r="D31" s="1">
        <f t="shared" si="5"/>
        <v>8885</v>
      </c>
      <c r="E31" s="1">
        <f t="shared" si="6"/>
        <v>11764</v>
      </c>
      <c r="F31" s="1">
        <f>+C31+HLOOKUP($B$1,$R$6:$W$7,2,FALSE)</f>
        <v>5372</v>
      </c>
    </row>
    <row r="32" spans="1:16" x14ac:dyDescent="0.25">
      <c r="A32" s="7" t="s">
        <v>32</v>
      </c>
      <c r="B32" s="1">
        <f t="shared" si="3"/>
        <v>867186.3</v>
      </c>
      <c r="C32" s="1">
        <f t="shared" si="4"/>
        <v>5337</v>
      </c>
      <c r="D32" s="1">
        <f t="shared" si="5"/>
        <v>9006</v>
      </c>
      <c r="E32" s="1">
        <f t="shared" si="6"/>
        <v>11924</v>
      </c>
      <c r="F32" s="1">
        <f>+C32+HLOOKUP($B$1,$R$6:$W$7,2,FALSE)</f>
        <v>5444</v>
      </c>
    </row>
    <row r="35" spans="1:21" x14ac:dyDescent="0.25">
      <c r="A35" s="21" t="s">
        <v>33</v>
      </c>
    </row>
    <row r="36" spans="1:21" x14ac:dyDescent="0.25">
      <c r="C36" s="20" t="s">
        <v>68</v>
      </c>
      <c r="D36" s="3" t="s">
        <v>69</v>
      </c>
      <c r="E36" s="3" t="s">
        <v>70</v>
      </c>
      <c r="F36" s="3" t="s">
        <v>37</v>
      </c>
      <c r="G36" s="3" t="s">
        <v>37</v>
      </c>
      <c r="H36" s="3" t="s">
        <v>38</v>
      </c>
      <c r="I36" s="3" t="s">
        <v>38</v>
      </c>
      <c r="J36" s="3" t="s">
        <v>39</v>
      </c>
      <c r="K36" s="3" t="s">
        <v>39</v>
      </c>
      <c r="L36" s="3" t="s">
        <v>40</v>
      </c>
      <c r="M36" s="3" t="s">
        <v>40</v>
      </c>
      <c r="N36" s="3" t="s">
        <v>41</v>
      </c>
      <c r="O36" s="3" t="s">
        <v>41</v>
      </c>
      <c r="P36" s="3" t="s">
        <v>42</v>
      </c>
      <c r="Q36" s="3" t="s">
        <v>42</v>
      </c>
      <c r="R36" s="3" t="s">
        <v>72</v>
      </c>
      <c r="S36" s="3" t="s">
        <v>72</v>
      </c>
      <c r="T36" s="3" t="s">
        <v>44</v>
      </c>
      <c r="U36" s="3" t="s">
        <v>44</v>
      </c>
    </row>
    <row r="37" spans="1:21" x14ac:dyDescent="0.25">
      <c r="B37" s="3" t="s">
        <v>17</v>
      </c>
      <c r="C37" s="3" t="s">
        <v>18</v>
      </c>
      <c r="D37" s="3" t="s">
        <v>45</v>
      </c>
      <c r="E37" s="3" t="s">
        <v>46</v>
      </c>
      <c r="F37" s="3" t="s">
        <v>45</v>
      </c>
      <c r="G37" s="3" t="s">
        <v>46</v>
      </c>
      <c r="H37" s="3" t="s">
        <v>45</v>
      </c>
      <c r="I37" s="3" t="s">
        <v>46</v>
      </c>
      <c r="J37" s="3" t="s">
        <v>45</v>
      </c>
      <c r="K37" s="3" t="s">
        <v>46</v>
      </c>
      <c r="L37" s="3" t="s">
        <v>45</v>
      </c>
      <c r="M37" s="3" t="s">
        <v>46</v>
      </c>
      <c r="N37" s="3" t="s">
        <v>45</v>
      </c>
      <c r="O37" s="3" t="s">
        <v>46</v>
      </c>
      <c r="P37" s="3" t="s">
        <v>45</v>
      </c>
      <c r="Q37" s="3" t="s">
        <v>46</v>
      </c>
      <c r="R37" s="3" t="s">
        <v>45</v>
      </c>
      <c r="S37" s="3" t="s">
        <v>46</v>
      </c>
      <c r="T37" s="3" t="s">
        <v>45</v>
      </c>
      <c r="U37" s="3" t="s">
        <v>46</v>
      </c>
    </row>
    <row r="38" spans="1:21" x14ac:dyDescent="0.25">
      <c r="A38" s="4" t="s">
        <v>22</v>
      </c>
      <c r="B38" s="16">
        <f t="shared" ref="B38:C48" si="7">C22</f>
        <v>4858</v>
      </c>
      <c r="C38" s="16">
        <f t="shared" si="7"/>
        <v>8199</v>
      </c>
      <c r="D38" s="16">
        <f t="shared" ref="D38:D48" si="8">D$51*($B38)</f>
        <v>19432</v>
      </c>
      <c r="E38" s="16">
        <f t="shared" ref="E38:E48" si="9">E$51*($C38)</f>
        <v>32796</v>
      </c>
      <c r="F38" s="16">
        <f t="shared" ref="F38:F48" si="10">F$51*($B38)</f>
        <v>24290</v>
      </c>
      <c r="G38" s="16">
        <f t="shared" ref="G38:G48" si="11">G$51*($C38)</f>
        <v>40995</v>
      </c>
      <c r="H38" s="16">
        <f t="shared" ref="H38:H48" si="12">H$51*($B38)</f>
        <v>29148</v>
      </c>
      <c r="I38" s="16">
        <f t="shared" ref="I38:I48" si="13">I$51*($C38)</f>
        <v>49194</v>
      </c>
      <c r="J38" s="16">
        <f t="shared" ref="J38:J48" si="14">J$51*($B38)</f>
        <v>34006</v>
      </c>
      <c r="K38" s="16">
        <f t="shared" ref="K38:K48" si="15">K$51*($C38)</f>
        <v>57393</v>
      </c>
      <c r="L38" s="16">
        <f t="shared" ref="L38:L48" si="16">MIN(L$51,7.5)*$B38+(L$51-7.5)*$C38</f>
        <v>40534.5</v>
      </c>
      <c r="M38" s="16">
        <f t="shared" ref="M38:M48" si="17">M$51*($C38)</f>
        <v>65592</v>
      </c>
      <c r="N38" s="16">
        <f t="shared" ref="N38:N48" si="18">MIN(N$51,7.5)*$B38+(N$51-7.5)*$C38</f>
        <v>48733.5</v>
      </c>
      <c r="O38" s="16">
        <f t="shared" ref="O38:O48" si="19">O$51*($C38)</f>
        <v>73791</v>
      </c>
      <c r="P38" s="16">
        <f t="shared" ref="P38:P48" si="20">MIN(P$51,7.5)*$B38+(P$51-7.5)*$C38</f>
        <v>56932.5</v>
      </c>
      <c r="Q38" s="16">
        <f t="shared" ref="Q38:Q48" si="21">Q$51*($C38)</f>
        <v>81990</v>
      </c>
      <c r="R38" s="16">
        <f t="shared" ref="R38:R48" si="22">MIN(R$51,7.5)*$B38+(R$51-7.5)*$C38</f>
        <v>65131.5</v>
      </c>
      <c r="S38" s="16">
        <f t="shared" ref="S38:S48" si="23">S$51*($C38)</f>
        <v>90189</v>
      </c>
      <c r="T38" s="16">
        <f t="shared" ref="T38:T48" si="24">MIN(T$51,7.5)*$B38+(T$51-7.5)*$C38</f>
        <v>73330.5</v>
      </c>
      <c r="U38" s="16">
        <f t="shared" ref="U38:U48" si="25">U$51*($C38)</f>
        <v>98388</v>
      </c>
    </row>
    <row r="39" spans="1:21" x14ac:dyDescent="0.25">
      <c r="A39" s="4" t="s">
        <v>23</v>
      </c>
      <c r="B39" s="16">
        <f t="shared" si="7"/>
        <v>4858</v>
      </c>
      <c r="C39" s="16">
        <f t="shared" si="7"/>
        <v>8199</v>
      </c>
      <c r="D39" s="16">
        <f t="shared" si="8"/>
        <v>19432</v>
      </c>
      <c r="E39" s="16">
        <f t="shared" si="9"/>
        <v>32796</v>
      </c>
      <c r="F39" s="16">
        <f t="shared" si="10"/>
        <v>24290</v>
      </c>
      <c r="G39" s="16">
        <f t="shared" si="11"/>
        <v>40995</v>
      </c>
      <c r="H39" s="16">
        <f t="shared" si="12"/>
        <v>29148</v>
      </c>
      <c r="I39" s="16">
        <f t="shared" si="13"/>
        <v>49194</v>
      </c>
      <c r="J39" s="16">
        <f t="shared" si="14"/>
        <v>34006</v>
      </c>
      <c r="K39" s="16">
        <f t="shared" si="15"/>
        <v>57393</v>
      </c>
      <c r="L39" s="16">
        <f t="shared" si="16"/>
        <v>40534.5</v>
      </c>
      <c r="M39" s="16">
        <f t="shared" si="17"/>
        <v>65592</v>
      </c>
      <c r="N39" s="16">
        <f t="shared" si="18"/>
        <v>48733.5</v>
      </c>
      <c r="O39" s="16">
        <f t="shared" si="19"/>
        <v>73791</v>
      </c>
      <c r="P39" s="16">
        <f t="shared" si="20"/>
        <v>56932.5</v>
      </c>
      <c r="Q39" s="16">
        <f t="shared" si="21"/>
        <v>81990</v>
      </c>
      <c r="R39" s="16">
        <f t="shared" si="22"/>
        <v>65131.5</v>
      </c>
      <c r="S39" s="16">
        <f t="shared" si="23"/>
        <v>90189</v>
      </c>
      <c r="T39" s="16">
        <f t="shared" si="24"/>
        <v>73330.5</v>
      </c>
      <c r="U39" s="16">
        <f t="shared" si="25"/>
        <v>98388</v>
      </c>
    </row>
    <row r="40" spans="1:21" x14ac:dyDescent="0.25">
      <c r="A40" s="4" t="s">
        <v>24</v>
      </c>
      <c r="B40" s="16">
        <f t="shared" si="7"/>
        <v>4881</v>
      </c>
      <c r="C40" s="16">
        <f t="shared" si="7"/>
        <v>8237</v>
      </c>
      <c r="D40" s="16">
        <f t="shared" si="8"/>
        <v>19524</v>
      </c>
      <c r="E40" s="16">
        <f t="shared" si="9"/>
        <v>32948</v>
      </c>
      <c r="F40" s="16">
        <f t="shared" si="10"/>
        <v>24405</v>
      </c>
      <c r="G40" s="16">
        <f t="shared" si="11"/>
        <v>41185</v>
      </c>
      <c r="H40" s="16">
        <f t="shared" si="12"/>
        <v>29286</v>
      </c>
      <c r="I40" s="16">
        <f t="shared" si="13"/>
        <v>49422</v>
      </c>
      <c r="J40" s="16">
        <f t="shared" si="14"/>
        <v>34167</v>
      </c>
      <c r="K40" s="16">
        <f t="shared" si="15"/>
        <v>57659</v>
      </c>
      <c r="L40" s="16">
        <f t="shared" si="16"/>
        <v>40726</v>
      </c>
      <c r="M40" s="16">
        <f t="shared" si="17"/>
        <v>65896</v>
      </c>
      <c r="N40" s="16">
        <f t="shared" si="18"/>
        <v>48963</v>
      </c>
      <c r="O40" s="16">
        <f t="shared" si="19"/>
        <v>74133</v>
      </c>
      <c r="P40" s="16">
        <f t="shared" si="20"/>
        <v>57200</v>
      </c>
      <c r="Q40" s="16">
        <f t="shared" si="21"/>
        <v>82370</v>
      </c>
      <c r="R40" s="16">
        <f t="shared" si="22"/>
        <v>65437</v>
      </c>
      <c r="S40" s="16">
        <f t="shared" si="23"/>
        <v>90607</v>
      </c>
      <c r="T40" s="16">
        <f t="shared" si="24"/>
        <v>73674</v>
      </c>
      <c r="U40" s="16">
        <f t="shared" si="25"/>
        <v>98844</v>
      </c>
    </row>
    <row r="41" spans="1:21" x14ac:dyDescent="0.25">
      <c r="A41" s="4" t="s">
        <v>25</v>
      </c>
      <c r="B41" s="16">
        <f t="shared" si="7"/>
        <v>4885</v>
      </c>
      <c r="C41" s="16">
        <f t="shared" si="7"/>
        <v>8243</v>
      </c>
      <c r="D41" s="16">
        <f t="shared" si="8"/>
        <v>19540</v>
      </c>
      <c r="E41" s="16">
        <f t="shared" si="9"/>
        <v>32972</v>
      </c>
      <c r="F41" s="16">
        <f t="shared" si="10"/>
        <v>24425</v>
      </c>
      <c r="G41" s="16">
        <f t="shared" si="11"/>
        <v>41215</v>
      </c>
      <c r="H41" s="16">
        <f t="shared" si="12"/>
        <v>29310</v>
      </c>
      <c r="I41" s="16">
        <f t="shared" si="13"/>
        <v>49458</v>
      </c>
      <c r="J41" s="16">
        <f t="shared" si="14"/>
        <v>34195</v>
      </c>
      <c r="K41" s="16">
        <f t="shared" si="15"/>
        <v>57701</v>
      </c>
      <c r="L41" s="16">
        <f t="shared" si="16"/>
        <v>40759</v>
      </c>
      <c r="M41" s="16">
        <f t="shared" si="17"/>
        <v>65944</v>
      </c>
      <c r="N41" s="16">
        <f t="shared" si="18"/>
        <v>49002</v>
      </c>
      <c r="O41" s="16">
        <f t="shared" si="19"/>
        <v>74187</v>
      </c>
      <c r="P41" s="16">
        <f t="shared" si="20"/>
        <v>57245</v>
      </c>
      <c r="Q41" s="16">
        <f t="shared" si="21"/>
        <v>82430</v>
      </c>
      <c r="R41" s="16">
        <f t="shared" si="22"/>
        <v>65488</v>
      </c>
      <c r="S41" s="16">
        <f t="shared" si="23"/>
        <v>90673</v>
      </c>
      <c r="T41" s="16">
        <f t="shared" si="24"/>
        <v>73731</v>
      </c>
      <c r="U41" s="16">
        <f t="shared" si="25"/>
        <v>98916</v>
      </c>
    </row>
    <row r="42" spans="1:21" x14ac:dyDescent="0.25">
      <c r="A42" s="4" t="s">
        <v>26</v>
      </c>
      <c r="B42" s="16">
        <f t="shared" si="7"/>
        <v>4992</v>
      </c>
      <c r="C42" s="16">
        <f t="shared" si="7"/>
        <v>8425</v>
      </c>
      <c r="D42" s="16">
        <f t="shared" si="8"/>
        <v>19968</v>
      </c>
      <c r="E42" s="16">
        <f t="shared" si="9"/>
        <v>33700</v>
      </c>
      <c r="F42" s="16">
        <f t="shared" si="10"/>
        <v>24960</v>
      </c>
      <c r="G42" s="16">
        <f t="shared" si="11"/>
        <v>42125</v>
      </c>
      <c r="H42" s="16">
        <f t="shared" si="12"/>
        <v>29952</v>
      </c>
      <c r="I42" s="16">
        <f t="shared" si="13"/>
        <v>50550</v>
      </c>
      <c r="J42" s="16">
        <f t="shared" si="14"/>
        <v>34944</v>
      </c>
      <c r="K42" s="16">
        <f t="shared" si="15"/>
        <v>58975</v>
      </c>
      <c r="L42" s="16">
        <f t="shared" si="16"/>
        <v>41652.5</v>
      </c>
      <c r="M42" s="16">
        <f t="shared" si="17"/>
        <v>67400</v>
      </c>
      <c r="N42" s="16">
        <f t="shared" si="18"/>
        <v>50077.5</v>
      </c>
      <c r="O42" s="16">
        <f t="shared" si="19"/>
        <v>75825</v>
      </c>
      <c r="P42" s="16">
        <f t="shared" si="20"/>
        <v>58502.5</v>
      </c>
      <c r="Q42" s="16">
        <f t="shared" si="21"/>
        <v>84250</v>
      </c>
      <c r="R42" s="16">
        <f t="shared" si="22"/>
        <v>66927.5</v>
      </c>
      <c r="S42" s="16">
        <f t="shared" si="23"/>
        <v>92675</v>
      </c>
      <c r="T42" s="16">
        <f t="shared" si="24"/>
        <v>75352.5</v>
      </c>
      <c r="U42" s="16">
        <f t="shared" si="25"/>
        <v>101100</v>
      </c>
    </row>
    <row r="43" spans="1:21" x14ac:dyDescent="0.25">
      <c r="A43" s="4" t="s">
        <v>27</v>
      </c>
      <c r="B43" s="16">
        <f t="shared" si="7"/>
        <v>5140</v>
      </c>
      <c r="C43" s="16">
        <f t="shared" si="7"/>
        <v>8673</v>
      </c>
      <c r="D43" s="16">
        <f t="shared" si="8"/>
        <v>20560</v>
      </c>
      <c r="E43" s="16">
        <f t="shared" si="9"/>
        <v>34692</v>
      </c>
      <c r="F43" s="16">
        <f t="shared" si="10"/>
        <v>25700</v>
      </c>
      <c r="G43" s="16">
        <f t="shared" si="11"/>
        <v>43365</v>
      </c>
      <c r="H43" s="16">
        <f t="shared" si="12"/>
        <v>30840</v>
      </c>
      <c r="I43" s="16">
        <f t="shared" si="13"/>
        <v>52038</v>
      </c>
      <c r="J43" s="16">
        <f t="shared" si="14"/>
        <v>35980</v>
      </c>
      <c r="K43" s="16">
        <f t="shared" si="15"/>
        <v>60711</v>
      </c>
      <c r="L43" s="16">
        <f t="shared" si="16"/>
        <v>42886.5</v>
      </c>
      <c r="M43" s="16">
        <f t="shared" si="17"/>
        <v>69384</v>
      </c>
      <c r="N43" s="16">
        <f t="shared" si="18"/>
        <v>51559.5</v>
      </c>
      <c r="O43" s="16">
        <f t="shared" si="19"/>
        <v>78057</v>
      </c>
      <c r="P43" s="16">
        <f t="shared" si="20"/>
        <v>60232.5</v>
      </c>
      <c r="Q43" s="16">
        <f t="shared" si="21"/>
        <v>86730</v>
      </c>
      <c r="R43" s="16">
        <f t="shared" si="22"/>
        <v>68905.5</v>
      </c>
      <c r="S43" s="16">
        <f t="shared" si="23"/>
        <v>95403</v>
      </c>
      <c r="T43" s="16">
        <f t="shared" si="24"/>
        <v>77578.5</v>
      </c>
      <c r="U43" s="16">
        <f t="shared" si="25"/>
        <v>104076</v>
      </c>
    </row>
    <row r="44" spans="1:21" x14ac:dyDescent="0.25">
      <c r="A44" s="4" t="s">
        <v>28</v>
      </c>
      <c r="B44" s="16">
        <f t="shared" si="7"/>
        <v>5173</v>
      </c>
      <c r="C44" s="16">
        <f t="shared" si="7"/>
        <v>8730</v>
      </c>
      <c r="D44" s="16">
        <f t="shared" si="8"/>
        <v>20692</v>
      </c>
      <c r="E44" s="16">
        <f t="shared" si="9"/>
        <v>34920</v>
      </c>
      <c r="F44" s="16">
        <f t="shared" si="10"/>
        <v>25865</v>
      </c>
      <c r="G44" s="16">
        <f t="shared" si="11"/>
        <v>43650</v>
      </c>
      <c r="H44" s="16">
        <f t="shared" si="12"/>
        <v>31038</v>
      </c>
      <c r="I44" s="16">
        <f t="shared" si="13"/>
        <v>52380</v>
      </c>
      <c r="J44" s="16">
        <f t="shared" si="14"/>
        <v>36211</v>
      </c>
      <c r="K44" s="16">
        <f t="shared" si="15"/>
        <v>61110</v>
      </c>
      <c r="L44" s="16">
        <f t="shared" si="16"/>
        <v>43162.5</v>
      </c>
      <c r="M44" s="16">
        <f t="shared" si="17"/>
        <v>69840</v>
      </c>
      <c r="N44" s="16">
        <f t="shared" si="18"/>
        <v>51892.5</v>
      </c>
      <c r="O44" s="16">
        <f t="shared" si="19"/>
        <v>78570</v>
      </c>
      <c r="P44" s="16">
        <f t="shared" si="20"/>
        <v>60622.5</v>
      </c>
      <c r="Q44" s="16">
        <f t="shared" si="21"/>
        <v>87300</v>
      </c>
      <c r="R44" s="16">
        <f t="shared" si="22"/>
        <v>69352.5</v>
      </c>
      <c r="S44" s="16">
        <f t="shared" si="23"/>
        <v>96030</v>
      </c>
      <c r="T44" s="16">
        <f t="shared" si="24"/>
        <v>78082.5</v>
      </c>
      <c r="U44" s="16">
        <f t="shared" si="25"/>
        <v>104760</v>
      </c>
    </row>
    <row r="45" spans="1:21" x14ac:dyDescent="0.25">
      <c r="A45" s="4" t="s">
        <v>29</v>
      </c>
      <c r="B45" s="16">
        <f t="shared" si="7"/>
        <v>4921</v>
      </c>
      <c r="C45" s="16">
        <f t="shared" si="7"/>
        <v>8304</v>
      </c>
      <c r="D45" s="16">
        <f t="shared" si="8"/>
        <v>19684</v>
      </c>
      <c r="E45" s="16">
        <f t="shared" si="9"/>
        <v>33216</v>
      </c>
      <c r="F45" s="16">
        <f t="shared" si="10"/>
        <v>24605</v>
      </c>
      <c r="G45" s="16">
        <f t="shared" si="11"/>
        <v>41520</v>
      </c>
      <c r="H45" s="16">
        <f t="shared" si="12"/>
        <v>29526</v>
      </c>
      <c r="I45" s="16">
        <f t="shared" si="13"/>
        <v>49824</v>
      </c>
      <c r="J45" s="16">
        <f t="shared" si="14"/>
        <v>34447</v>
      </c>
      <c r="K45" s="16">
        <f t="shared" si="15"/>
        <v>58128</v>
      </c>
      <c r="L45" s="16">
        <f t="shared" si="16"/>
        <v>41059.5</v>
      </c>
      <c r="M45" s="16">
        <f t="shared" si="17"/>
        <v>66432</v>
      </c>
      <c r="N45" s="16">
        <f t="shared" si="18"/>
        <v>49363.5</v>
      </c>
      <c r="O45" s="16">
        <f t="shared" si="19"/>
        <v>74736</v>
      </c>
      <c r="P45" s="16">
        <f t="shared" si="20"/>
        <v>57667.5</v>
      </c>
      <c r="Q45" s="16">
        <f t="shared" si="21"/>
        <v>83040</v>
      </c>
      <c r="R45" s="16">
        <f t="shared" si="22"/>
        <v>65971.5</v>
      </c>
      <c r="S45" s="16">
        <f t="shared" si="23"/>
        <v>91344</v>
      </c>
      <c r="T45" s="16">
        <f t="shared" si="24"/>
        <v>74275.5</v>
      </c>
      <c r="U45" s="16">
        <f t="shared" si="25"/>
        <v>99648</v>
      </c>
    </row>
    <row r="46" spans="1:21" x14ac:dyDescent="0.25">
      <c r="A46" s="4" t="s">
        <v>30</v>
      </c>
      <c r="B46" s="16">
        <f t="shared" si="7"/>
        <v>5114</v>
      </c>
      <c r="C46" s="16">
        <f t="shared" si="7"/>
        <v>8629</v>
      </c>
      <c r="D46" s="16">
        <f t="shared" si="8"/>
        <v>20456</v>
      </c>
      <c r="E46" s="16">
        <f t="shared" si="9"/>
        <v>34516</v>
      </c>
      <c r="F46" s="16">
        <f t="shared" si="10"/>
        <v>25570</v>
      </c>
      <c r="G46" s="16">
        <f t="shared" si="11"/>
        <v>43145</v>
      </c>
      <c r="H46" s="16">
        <f t="shared" si="12"/>
        <v>30684</v>
      </c>
      <c r="I46" s="16">
        <f t="shared" si="13"/>
        <v>51774</v>
      </c>
      <c r="J46" s="16">
        <f t="shared" si="14"/>
        <v>35798</v>
      </c>
      <c r="K46" s="16">
        <f t="shared" si="15"/>
        <v>60403</v>
      </c>
      <c r="L46" s="16">
        <f t="shared" si="16"/>
        <v>42669.5</v>
      </c>
      <c r="M46" s="16">
        <f t="shared" si="17"/>
        <v>69032</v>
      </c>
      <c r="N46" s="16">
        <f t="shared" si="18"/>
        <v>51298.5</v>
      </c>
      <c r="O46" s="16">
        <f t="shared" si="19"/>
        <v>77661</v>
      </c>
      <c r="P46" s="16">
        <f t="shared" si="20"/>
        <v>59927.5</v>
      </c>
      <c r="Q46" s="16">
        <f t="shared" si="21"/>
        <v>86290</v>
      </c>
      <c r="R46" s="16">
        <f t="shared" si="22"/>
        <v>68556.5</v>
      </c>
      <c r="S46" s="16">
        <f t="shared" si="23"/>
        <v>94919</v>
      </c>
      <c r="T46" s="16">
        <f t="shared" si="24"/>
        <v>77185.5</v>
      </c>
      <c r="U46" s="16">
        <f t="shared" si="25"/>
        <v>103548</v>
      </c>
    </row>
    <row r="47" spans="1:21" x14ac:dyDescent="0.25">
      <c r="A47" s="4" t="s">
        <v>31</v>
      </c>
      <c r="B47" s="16">
        <f t="shared" si="7"/>
        <v>5265</v>
      </c>
      <c r="C47" s="16">
        <f t="shared" si="7"/>
        <v>8885</v>
      </c>
      <c r="D47" s="16">
        <f t="shared" si="8"/>
        <v>21060</v>
      </c>
      <c r="E47" s="16">
        <f t="shared" si="9"/>
        <v>35540</v>
      </c>
      <c r="F47" s="16">
        <f t="shared" si="10"/>
        <v>26325</v>
      </c>
      <c r="G47" s="16">
        <f t="shared" si="11"/>
        <v>44425</v>
      </c>
      <c r="H47" s="16">
        <f t="shared" si="12"/>
        <v>31590</v>
      </c>
      <c r="I47" s="16">
        <f t="shared" si="13"/>
        <v>53310</v>
      </c>
      <c r="J47" s="16">
        <f t="shared" si="14"/>
        <v>36855</v>
      </c>
      <c r="K47" s="16">
        <f t="shared" si="15"/>
        <v>62195</v>
      </c>
      <c r="L47" s="16">
        <f t="shared" si="16"/>
        <v>43930</v>
      </c>
      <c r="M47" s="16">
        <f t="shared" si="17"/>
        <v>71080</v>
      </c>
      <c r="N47" s="16">
        <f t="shared" si="18"/>
        <v>52815</v>
      </c>
      <c r="O47" s="16">
        <f t="shared" si="19"/>
        <v>79965</v>
      </c>
      <c r="P47" s="16">
        <f t="shared" si="20"/>
        <v>61700</v>
      </c>
      <c r="Q47" s="16">
        <f t="shared" si="21"/>
        <v>88850</v>
      </c>
      <c r="R47" s="16">
        <f t="shared" si="22"/>
        <v>70585</v>
      </c>
      <c r="S47" s="16">
        <f t="shared" si="23"/>
        <v>97735</v>
      </c>
      <c r="T47" s="16">
        <f t="shared" si="24"/>
        <v>79470</v>
      </c>
      <c r="U47" s="16">
        <f t="shared" si="25"/>
        <v>106620</v>
      </c>
    </row>
    <row r="48" spans="1:21" x14ac:dyDescent="0.25">
      <c r="A48" s="4" t="s">
        <v>32</v>
      </c>
      <c r="B48" s="16">
        <f t="shared" si="7"/>
        <v>5337</v>
      </c>
      <c r="C48" s="16">
        <f t="shared" si="7"/>
        <v>9006</v>
      </c>
      <c r="D48" s="16">
        <f t="shared" si="8"/>
        <v>21348</v>
      </c>
      <c r="E48" s="16">
        <f t="shared" si="9"/>
        <v>36024</v>
      </c>
      <c r="F48" s="16">
        <f t="shared" si="10"/>
        <v>26685</v>
      </c>
      <c r="G48" s="16">
        <f t="shared" si="11"/>
        <v>45030</v>
      </c>
      <c r="H48" s="16">
        <f t="shared" si="12"/>
        <v>32022</v>
      </c>
      <c r="I48" s="16">
        <f t="shared" si="13"/>
        <v>54036</v>
      </c>
      <c r="J48" s="16">
        <f t="shared" si="14"/>
        <v>37359</v>
      </c>
      <c r="K48" s="16">
        <f t="shared" si="15"/>
        <v>63042</v>
      </c>
      <c r="L48" s="16">
        <f t="shared" si="16"/>
        <v>44530.5</v>
      </c>
      <c r="M48" s="16">
        <f t="shared" si="17"/>
        <v>72048</v>
      </c>
      <c r="N48" s="16">
        <f t="shared" si="18"/>
        <v>53536.5</v>
      </c>
      <c r="O48" s="16">
        <f t="shared" si="19"/>
        <v>81054</v>
      </c>
      <c r="P48" s="16">
        <f t="shared" si="20"/>
        <v>62542.5</v>
      </c>
      <c r="Q48" s="16">
        <f t="shared" si="21"/>
        <v>90060</v>
      </c>
      <c r="R48" s="16">
        <f t="shared" si="22"/>
        <v>71548.5</v>
      </c>
      <c r="S48" s="16">
        <f t="shared" si="23"/>
        <v>99066</v>
      </c>
      <c r="T48" s="16">
        <f t="shared" si="24"/>
        <v>80554.5</v>
      </c>
      <c r="U48" s="16">
        <f t="shared" si="25"/>
        <v>108072</v>
      </c>
    </row>
    <row r="49" spans="1:21" x14ac:dyDescent="0.25">
      <c r="A49" s="4" t="s">
        <v>47</v>
      </c>
      <c r="B49" s="17">
        <f>HLOOKUP(B1,R6:W7,2,FALSE)</f>
        <v>107</v>
      </c>
      <c r="D49" s="17">
        <f>$B49*MIN(D$51,7.5)</f>
        <v>428</v>
      </c>
      <c r="F49" s="17">
        <f>$B49*MIN(F$51,7.5)</f>
        <v>535</v>
      </c>
      <c r="H49" s="17">
        <f>$B49*MIN(H$51,7.5)</f>
        <v>642</v>
      </c>
      <c r="J49" s="17">
        <f>$B49*MIN(J$51,7.5)</f>
        <v>749</v>
      </c>
      <c r="L49" s="17">
        <f>$B49*MIN(L$51,7.5)</f>
        <v>802.5</v>
      </c>
      <c r="N49" s="17">
        <f>$B49*MIN(N$51,7.5)</f>
        <v>802.5</v>
      </c>
      <c r="P49" s="17">
        <f>$B49*MIN(P$51,7.5)</f>
        <v>802.5</v>
      </c>
      <c r="R49" s="17">
        <f>$B49*MIN(R$51,7.5)</f>
        <v>802.5</v>
      </c>
      <c r="T49" s="17">
        <f>$B49*MIN(T$51,7.5)</f>
        <v>802.5</v>
      </c>
    </row>
    <row r="51" spans="1:21" x14ac:dyDescent="0.25">
      <c r="D51" s="2">
        <v>4</v>
      </c>
      <c r="E51" s="2">
        <v>4</v>
      </c>
      <c r="F51" s="2">
        <v>5</v>
      </c>
      <c r="G51" s="2">
        <v>5</v>
      </c>
      <c r="H51" s="2">
        <v>6</v>
      </c>
      <c r="I51" s="2">
        <v>6</v>
      </c>
      <c r="J51" s="2">
        <v>7</v>
      </c>
      <c r="K51" s="2">
        <v>7</v>
      </c>
      <c r="L51" s="2">
        <v>8</v>
      </c>
      <c r="M51" s="2">
        <v>8</v>
      </c>
      <c r="N51" s="2">
        <v>9</v>
      </c>
      <c r="O51" s="2">
        <v>9</v>
      </c>
      <c r="P51" s="2">
        <v>10</v>
      </c>
      <c r="Q51" s="2">
        <v>10</v>
      </c>
      <c r="R51" s="2">
        <v>11</v>
      </c>
      <c r="S51" s="2">
        <v>11</v>
      </c>
      <c r="T51" s="2">
        <v>12</v>
      </c>
      <c r="U51" s="2">
        <v>12</v>
      </c>
    </row>
    <row r="54" spans="1:21" x14ac:dyDescent="0.25">
      <c r="A54" s="15" t="s">
        <v>48</v>
      </c>
    </row>
    <row r="55" spans="1:21" x14ac:dyDescent="0.25">
      <c r="A55" s="3" t="s">
        <v>49</v>
      </c>
      <c r="B55" s="3" t="s">
        <v>50</v>
      </c>
      <c r="C55" s="3" t="s">
        <v>50</v>
      </c>
      <c r="D55" s="3" t="s">
        <v>50</v>
      </c>
      <c r="E55" s="3" t="s">
        <v>51</v>
      </c>
      <c r="F55" s="3" t="s">
        <v>51</v>
      </c>
      <c r="G55" s="3" t="s">
        <v>51</v>
      </c>
      <c r="H55" s="3" t="s">
        <v>52</v>
      </c>
      <c r="I55" s="3" t="s">
        <v>52</v>
      </c>
      <c r="J55" s="3" t="s">
        <v>53</v>
      </c>
      <c r="K55" s="3" t="s">
        <v>53</v>
      </c>
      <c r="L55" s="3" t="s">
        <v>54</v>
      </c>
      <c r="M55" s="3" t="s">
        <v>54</v>
      </c>
      <c r="N55" s="3" t="s">
        <v>54</v>
      </c>
      <c r="O55" s="3" t="s">
        <v>55</v>
      </c>
      <c r="P55" s="3" t="s">
        <v>55</v>
      </c>
      <c r="Q55" s="3" t="s">
        <v>55</v>
      </c>
      <c r="R55" s="3" t="s">
        <v>56</v>
      </c>
    </row>
    <row r="56" spans="1:21" x14ac:dyDescent="0.25">
      <c r="A56" s="3" t="s">
        <v>57</v>
      </c>
      <c r="B56" s="2">
        <v>2</v>
      </c>
      <c r="C56" s="2">
        <v>1</v>
      </c>
      <c r="D56" s="2">
        <v>0</v>
      </c>
      <c r="E56" s="2">
        <v>4</v>
      </c>
      <c r="F56" s="2">
        <v>3</v>
      </c>
      <c r="G56" s="2">
        <v>2</v>
      </c>
      <c r="H56" s="2">
        <v>5</v>
      </c>
      <c r="I56" s="2">
        <v>4</v>
      </c>
      <c r="J56" s="2">
        <v>6</v>
      </c>
      <c r="K56" s="2">
        <v>5</v>
      </c>
      <c r="L56" s="2">
        <v>8</v>
      </c>
      <c r="M56" s="2">
        <v>7</v>
      </c>
      <c r="N56" s="2">
        <v>6</v>
      </c>
      <c r="O56" s="2">
        <v>10</v>
      </c>
      <c r="P56" s="2">
        <v>9</v>
      </c>
      <c r="Q56" s="2">
        <v>8</v>
      </c>
      <c r="R56" s="2">
        <v>10</v>
      </c>
    </row>
    <row r="57" spans="1:21" x14ac:dyDescent="0.25">
      <c r="A57" s="3" t="s">
        <v>58</v>
      </c>
      <c r="B57" s="2">
        <v>0</v>
      </c>
      <c r="C57" s="2">
        <v>1</v>
      </c>
      <c r="D57" s="2">
        <v>2</v>
      </c>
      <c r="E57" s="2">
        <v>0</v>
      </c>
      <c r="F57" s="2">
        <v>1</v>
      </c>
      <c r="G57" s="2">
        <v>2</v>
      </c>
      <c r="H57" s="2">
        <v>1</v>
      </c>
      <c r="I57" s="2">
        <v>2</v>
      </c>
      <c r="J57" s="2">
        <v>2</v>
      </c>
      <c r="K57" s="2">
        <v>3</v>
      </c>
      <c r="L57" s="2">
        <v>2</v>
      </c>
      <c r="M57" s="2">
        <v>3</v>
      </c>
      <c r="N57" s="2">
        <v>4</v>
      </c>
      <c r="O57" s="2">
        <v>2</v>
      </c>
      <c r="P57" s="2">
        <v>3</v>
      </c>
      <c r="Q57" s="2">
        <v>4</v>
      </c>
      <c r="R57" s="2">
        <v>4</v>
      </c>
    </row>
    <row r="58" spans="1:21" x14ac:dyDescent="0.25">
      <c r="A58" s="4" t="s">
        <v>22</v>
      </c>
      <c r="B58" s="16">
        <f t="shared" ref="B58:R58" si="26">B$56*$R38+B$57*$S38</f>
        <v>130263</v>
      </c>
      <c r="C58" s="16">
        <f t="shared" si="26"/>
        <v>155320.5</v>
      </c>
      <c r="D58" s="16">
        <f t="shared" si="26"/>
        <v>180378</v>
      </c>
      <c r="E58" s="16">
        <f t="shared" si="26"/>
        <v>260526</v>
      </c>
      <c r="F58" s="16">
        <f t="shared" si="26"/>
        <v>285583.5</v>
      </c>
      <c r="G58" s="16">
        <f t="shared" si="26"/>
        <v>310641</v>
      </c>
      <c r="H58" s="16">
        <f t="shared" si="26"/>
        <v>415846.5</v>
      </c>
      <c r="I58" s="16">
        <f t="shared" si="26"/>
        <v>440904</v>
      </c>
      <c r="J58" s="16">
        <f t="shared" si="26"/>
        <v>571167</v>
      </c>
      <c r="K58" s="16">
        <f t="shared" si="26"/>
        <v>596224.5</v>
      </c>
      <c r="L58" s="16">
        <f t="shared" si="26"/>
        <v>701430</v>
      </c>
      <c r="M58" s="16">
        <f t="shared" si="26"/>
        <v>726487.5</v>
      </c>
      <c r="N58" s="16">
        <f t="shared" si="26"/>
        <v>751545</v>
      </c>
      <c r="O58" s="16">
        <f t="shared" si="26"/>
        <v>831693</v>
      </c>
      <c r="P58" s="16">
        <f t="shared" si="26"/>
        <v>856750.5</v>
      </c>
      <c r="Q58" s="16">
        <f t="shared" si="26"/>
        <v>881808</v>
      </c>
      <c r="R58" s="16">
        <f t="shared" si="26"/>
        <v>1012071</v>
      </c>
    </row>
    <row r="59" spans="1:21" x14ac:dyDescent="0.25">
      <c r="A59" s="4" t="s">
        <v>23</v>
      </c>
      <c r="B59" s="16">
        <f t="shared" ref="B59:R59" si="27">B$56*$R39+B$57*$S39</f>
        <v>130263</v>
      </c>
      <c r="C59" s="16">
        <f t="shared" si="27"/>
        <v>155320.5</v>
      </c>
      <c r="D59" s="16">
        <f t="shared" si="27"/>
        <v>180378</v>
      </c>
      <c r="E59" s="16">
        <f t="shared" si="27"/>
        <v>260526</v>
      </c>
      <c r="F59" s="16">
        <f t="shared" si="27"/>
        <v>285583.5</v>
      </c>
      <c r="G59" s="16">
        <f t="shared" si="27"/>
        <v>310641</v>
      </c>
      <c r="H59" s="16">
        <f t="shared" si="27"/>
        <v>415846.5</v>
      </c>
      <c r="I59" s="16">
        <f t="shared" si="27"/>
        <v>440904</v>
      </c>
      <c r="J59" s="16">
        <f t="shared" si="27"/>
        <v>571167</v>
      </c>
      <c r="K59" s="16">
        <f t="shared" si="27"/>
        <v>596224.5</v>
      </c>
      <c r="L59" s="16">
        <f t="shared" si="27"/>
        <v>701430</v>
      </c>
      <c r="M59" s="16">
        <f t="shared" si="27"/>
        <v>726487.5</v>
      </c>
      <c r="N59" s="16">
        <f t="shared" si="27"/>
        <v>751545</v>
      </c>
      <c r="O59" s="16">
        <f t="shared" si="27"/>
        <v>831693</v>
      </c>
      <c r="P59" s="16">
        <f t="shared" si="27"/>
        <v>856750.5</v>
      </c>
      <c r="Q59" s="16">
        <f t="shared" si="27"/>
        <v>881808</v>
      </c>
      <c r="R59" s="16">
        <f t="shared" si="27"/>
        <v>1012071</v>
      </c>
    </row>
    <row r="60" spans="1:21" x14ac:dyDescent="0.25">
      <c r="A60" s="4" t="s">
        <v>24</v>
      </c>
      <c r="B60" s="16">
        <f t="shared" ref="B60:R60" si="28">B$56*$R40+B$57*$S40</f>
        <v>130874</v>
      </c>
      <c r="C60" s="16">
        <f t="shared" si="28"/>
        <v>156044</v>
      </c>
      <c r="D60" s="16">
        <f t="shared" si="28"/>
        <v>181214</v>
      </c>
      <c r="E60" s="16">
        <f t="shared" si="28"/>
        <v>261748</v>
      </c>
      <c r="F60" s="16">
        <f t="shared" si="28"/>
        <v>286918</v>
      </c>
      <c r="G60" s="16">
        <f t="shared" si="28"/>
        <v>312088</v>
      </c>
      <c r="H60" s="16">
        <f t="shared" si="28"/>
        <v>417792</v>
      </c>
      <c r="I60" s="16">
        <f t="shared" si="28"/>
        <v>442962</v>
      </c>
      <c r="J60" s="16">
        <f t="shared" si="28"/>
        <v>573836</v>
      </c>
      <c r="K60" s="16">
        <f t="shared" si="28"/>
        <v>599006</v>
      </c>
      <c r="L60" s="16">
        <f t="shared" si="28"/>
        <v>704710</v>
      </c>
      <c r="M60" s="16">
        <f t="shared" si="28"/>
        <v>729880</v>
      </c>
      <c r="N60" s="16">
        <f t="shared" si="28"/>
        <v>755050</v>
      </c>
      <c r="O60" s="16">
        <f t="shared" si="28"/>
        <v>835584</v>
      </c>
      <c r="P60" s="16">
        <f t="shared" si="28"/>
        <v>860754</v>
      </c>
      <c r="Q60" s="16">
        <f t="shared" si="28"/>
        <v>885924</v>
      </c>
      <c r="R60" s="16">
        <f t="shared" si="28"/>
        <v>1016798</v>
      </c>
    </row>
    <row r="61" spans="1:21" x14ac:dyDescent="0.25">
      <c r="A61" s="4" t="s">
        <v>25</v>
      </c>
      <c r="B61" s="16">
        <f t="shared" ref="B61:R61" si="29">B$56*$R41+B$57*$S41</f>
        <v>130976</v>
      </c>
      <c r="C61" s="16">
        <f t="shared" si="29"/>
        <v>156161</v>
      </c>
      <c r="D61" s="16">
        <f t="shared" si="29"/>
        <v>181346</v>
      </c>
      <c r="E61" s="16">
        <f t="shared" si="29"/>
        <v>261952</v>
      </c>
      <c r="F61" s="16">
        <f t="shared" si="29"/>
        <v>287137</v>
      </c>
      <c r="G61" s="16">
        <f t="shared" si="29"/>
        <v>312322</v>
      </c>
      <c r="H61" s="16">
        <f t="shared" si="29"/>
        <v>418113</v>
      </c>
      <c r="I61" s="16">
        <f t="shared" si="29"/>
        <v>443298</v>
      </c>
      <c r="J61" s="16">
        <f t="shared" si="29"/>
        <v>574274</v>
      </c>
      <c r="K61" s="16">
        <f t="shared" si="29"/>
        <v>599459</v>
      </c>
      <c r="L61" s="16">
        <f t="shared" si="29"/>
        <v>705250</v>
      </c>
      <c r="M61" s="16">
        <f t="shared" si="29"/>
        <v>730435</v>
      </c>
      <c r="N61" s="16">
        <f t="shared" si="29"/>
        <v>755620</v>
      </c>
      <c r="O61" s="16">
        <f t="shared" si="29"/>
        <v>836226</v>
      </c>
      <c r="P61" s="16">
        <f t="shared" si="29"/>
        <v>861411</v>
      </c>
      <c r="Q61" s="16">
        <f t="shared" si="29"/>
        <v>886596</v>
      </c>
      <c r="R61" s="16">
        <f t="shared" si="29"/>
        <v>1017572</v>
      </c>
    </row>
    <row r="62" spans="1:21" x14ac:dyDescent="0.25">
      <c r="A62" s="4" t="s">
        <v>26</v>
      </c>
      <c r="B62" s="16">
        <f t="shared" ref="B62:R62" si="30">B$56*$R42+B$57*$S42</f>
        <v>133855</v>
      </c>
      <c r="C62" s="16">
        <f t="shared" si="30"/>
        <v>159602.5</v>
      </c>
      <c r="D62" s="16">
        <f t="shared" si="30"/>
        <v>185350</v>
      </c>
      <c r="E62" s="16">
        <f t="shared" si="30"/>
        <v>267710</v>
      </c>
      <c r="F62" s="16">
        <f t="shared" si="30"/>
        <v>293457.5</v>
      </c>
      <c r="G62" s="16">
        <f t="shared" si="30"/>
        <v>319205</v>
      </c>
      <c r="H62" s="16">
        <f t="shared" si="30"/>
        <v>427312.5</v>
      </c>
      <c r="I62" s="16">
        <f t="shared" si="30"/>
        <v>453060</v>
      </c>
      <c r="J62" s="16">
        <f t="shared" si="30"/>
        <v>586915</v>
      </c>
      <c r="K62" s="16">
        <f t="shared" si="30"/>
        <v>612662.5</v>
      </c>
      <c r="L62" s="16">
        <f t="shared" si="30"/>
        <v>720770</v>
      </c>
      <c r="M62" s="16">
        <f t="shared" si="30"/>
        <v>746517.5</v>
      </c>
      <c r="N62" s="16">
        <f t="shared" si="30"/>
        <v>772265</v>
      </c>
      <c r="O62" s="16">
        <f t="shared" si="30"/>
        <v>854625</v>
      </c>
      <c r="P62" s="16">
        <f t="shared" si="30"/>
        <v>880372.5</v>
      </c>
      <c r="Q62" s="16">
        <f t="shared" si="30"/>
        <v>906120</v>
      </c>
      <c r="R62" s="16">
        <f t="shared" si="30"/>
        <v>1039975</v>
      </c>
    </row>
    <row r="63" spans="1:21" x14ac:dyDescent="0.25">
      <c r="A63" s="4" t="s">
        <v>27</v>
      </c>
      <c r="B63" s="16">
        <f t="shared" ref="B63:R63" si="31">B$56*$R43+B$57*$S43</f>
        <v>137811</v>
      </c>
      <c r="C63" s="16">
        <f t="shared" si="31"/>
        <v>164308.5</v>
      </c>
      <c r="D63" s="16">
        <f t="shared" si="31"/>
        <v>190806</v>
      </c>
      <c r="E63" s="16">
        <f t="shared" si="31"/>
        <v>275622</v>
      </c>
      <c r="F63" s="16">
        <f t="shared" si="31"/>
        <v>302119.5</v>
      </c>
      <c r="G63" s="16">
        <f t="shared" si="31"/>
        <v>328617</v>
      </c>
      <c r="H63" s="16">
        <f t="shared" si="31"/>
        <v>439930.5</v>
      </c>
      <c r="I63" s="16">
        <f t="shared" si="31"/>
        <v>466428</v>
      </c>
      <c r="J63" s="16">
        <f t="shared" si="31"/>
        <v>604239</v>
      </c>
      <c r="K63" s="16">
        <f t="shared" si="31"/>
        <v>630736.5</v>
      </c>
      <c r="L63" s="16">
        <f t="shared" si="31"/>
        <v>742050</v>
      </c>
      <c r="M63" s="16">
        <f t="shared" si="31"/>
        <v>768547.5</v>
      </c>
      <c r="N63" s="16">
        <f t="shared" si="31"/>
        <v>795045</v>
      </c>
      <c r="O63" s="16">
        <f t="shared" si="31"/>
        <v>879861</v>
      </c>
      <c r="P63" s="16">
        <f t="shared" si="31"/>
        <v>906358.5</v>
      </c>
      <c r="Q63" s="16">
        <f t="shared" si="31"/>
        <v>932856</v>
      </c>
      <c r="R63" s="16">
        <f t="shared" si="31"/>
        <v>1070667</v>
      </c>
    </row>
    <row r="64" spans="1:21" x14ac:dyDescent="0.25">
      <c r="A64" s="4" t="s">
        <v>28</v>
      </c>
      <c r="B64" s="16">
        <f t="shared" ref="B64:R64" si="32">B$56*$R44+B$57*$S44</f>
        <v>138705</v>
      </c>
      <c r="C64" s="16">
        <f t="shared" si="32"/>
        <v>165382.5</v>
      </c>
      <c r="D64" s="16">
        <f t="shared" si="32"/>
        <v>192060</v>
      </c>
      <c r="E64" s="16">
        <f t="shared" si="32"/>
        <v>277410</v>
      </c>
      <c r="F64" s="16">
        <f t="shared" si="32"/>
        <v>304087.5</v>
      </c>
      <c r="G64" s="16">
        <f t="shared" si="32"/>
        <v>330765</v>
      </c>
      <c r="H64" s="16">
        <f t="shared" si="32"/>
        <v>442792.5</v>
      </c>
      <c r="I64" s="16">
        <f t="shared" si="32"/>
        <v>469470</v>
      </c>
      <c r="J64" s="16">
        <f t="shared" si="32"/>
        <v>608175</v>
      </c>
      <c r="K64" s="16">
        <f t="shared" si="32"/>
        <v>634852.5</v>
      </c>
      <c r="L64" s="16">
        <f t="shared" si="32"/>
        <v>746880</v>
      </c>
      <c r="M64" s="16">
        <f t="shared" si="32"/>
        <v>773557.5</v>
      </c>
      <c r="N64" s="16">
        <f t="shared" si="32"/>
        <v>800235</v>
      </c>
      <c r="O64" s="16">
        <f t="shared" si="32"/>
        <v>885585</v>
      </c>
      <c r="P64" s="16">
        <f t="shared" si="32"/>
        <v>912262.5</v>
      </c>
      <c r="Q64" s="16">
        <f t="shared" si="32"/>
        <v>938940</v>
      </c>
      <c r="R64" s="16">
        <f t="shared" si="32"/>
        <v>1077645</v>
      </c>
    </row>
    <row r="65" spans="1:18" x14ac:dyDescent="0.25">
      <c r="A65" s="4" t="s">
        <v>29</v>
      </c>
      <c r="B65" s="16">
        <f t="shared" ref="B65:R65" si="33">B$56*$R45+B$57*$S45</f>
        <v>131943</v>
      </c>
      <c r="C65" s="16">
        <f t="shared" si="33"/>
        <v>157315.5</v>
      </c>
      <c r="D65" s="16">
        <f t="shared" si="33"/>
        <v>182688</v>
      </c>
      <c r="E65" s="16">
        <f t="shared" si="33"/>
        <v>263886</v>
      </c>
      <c r="F65" s="16">
        <f t="shared" si="33"/>
        <v>289258.5</v>
      </c>
      <c r="G65" s="16">
        <f t="shared" si="33"/>
        <v>314631</v>
      </c>
      <c r="H65" s="16">
        <f t="shared" si="33"/>
        <v>421201.5</v>
      </c>
      <c r="I65" s="16">
        <f t="shared" si="33"/>
        <v>446574</v>
      </c>
      <c r="J65" s="16">
        <f t="shared" si="33"/>
        <v>578517</v>
      </c>
      <c r="K65" s="16">
        <f t="shared" si="33"/>
        <v>603889.5</v>
      </c>
      <c r="L65" s="16">
        <f t="shared" si="33"/>
        <v>710460</v>
      </c>
      <c r="M65" s="16">
        <f t="shared" si="33"/>
        <v>735832.5</v>
      </c>
      <c r="N65" s="16">
        <f t="shared" si="33"/>
        <v>761205</v>
      </c>
      <c r="O65" s="16">
        <f t="shared" si="33"/>
        <v>842403</v>
      </c>
      <c r="P65" s="16">
        <f t="shared" si="33"/>
        <v>867775.5</v>
      </c>
      <c r="Q65" s="16">
        <f t="shared" si="33"/>
        <v>893148</v>
      </c>
      <c r="R65" s="16">
        <f t="shared" si="33"/>
        <v>1025091</v>
      </c>
    </row>
    <row r="66" spans="1:18" x14ac:dyDescent="0.25">
      <c r="A66" s="4" t="s">
        <v>30</v>
      </c>
      <c r="B66" s="16">
        <f t="shared" ref="B66:R66" si="34">B$56*$R46+B$57*$S46</f>
        <v>137113</v>
      </c>
      <c r="C66" s="16">
        <f t="shared" si="34"/>
        <v>163475.5</v>
      </c>
      <c r="D66" s="16">
        <f t="shared" si="34"/>
        <v>189838</v>
      </c>
      <c r="E66" s="16">
        <f t="shared" si="34"/>
        <v>274226</v>
      </c>
      <c r="F66" s="16">
        <f t="shared" si="34"/>
        <v>300588.5</v>
      </c>
      <c r="G66" s="16">
        <f t="shared" si="34"/>
        <v>326951</v>
      </c>
      <c r="H66" s="16">
        <f t="shared" si="34"/>
        <v>437701.5</v>
      </c>
      <c r="I66" s="16">
        <f t="shared" si="34"/>
        <v>464064</v>
      </c>
      <c r="J66" s="16">
        <f t="shared" si="34"/>
        <v>601177</v>
      </c>
      <c r="K66" s="16">
        <f t="shared" si="34"/>
        <v>627539.5</v>
      </c>
      <c r="L66" s="16">
        <f t="shared" si="34"/>
        <v>738290</v>
      </c>
      <c r="M66" s="16">
        <f t="shared" si="34"/>
        <v>764652.5</v>
      </c>
      <c r="N66" s="16">
        <f t="shared" si="34"/>
        <v>791015</v>
      </c>
      <c r="O66" s="16">
        <f t="shared" si="34"/>
        <v>875403</v>
      </c>
      <c r="P66" s="16">
        <f t="shared" si="34"/>
        <v>901765.5</v>
      </c>
      <c r="Q66" s="16">
        <f t="shared" si="34"/>
        <v>928128</v>
      </c>
      <c r="R66" s="16">
        <f t="shared" si="34"/>
        <v>1065241</v>
      </c>
    </row>
    <row r="67" spans="1:18" x14ac:dyDescent="0.25">
      <c r="A67" s="4" t="s">
        <v>31</v>
      </c>
      <c r="B67" s="16">
        <f t="shared" ref="B67:R67" si="35">B$56*$R47+B$57*$S47</f>
        <v>141170</v>
      </c>
      <c r="C67" s="16">
        <f t="shared" si="35"/>
        <v>168320</v>
      </c>
      <c r="D67" s="16">
        <f t="shared" si="35"/>
        <v>195470</v>
      </c>
      <c r="E67" s="16">
        <f t="shared" si="35"/>
        <v>282340</v>
      </c>
      <c r="F67" s="16">
        <f t="shared" si="35"/>
        <v>309490</v>
      </c>
      <c r="G67" s="16">
        <f t="shared" si="35"/>
        <v>336640</v>
      </c>
      <c r="H67" s="16">
        <f t="shared" si="35"/>
        <v>450660</v>
      </c>
      <c r="I67" s="16">
        <f t="shared" si="35"/>
        <v>477810</v>
      </c>
      <c r="J67" s="16">
        <f t="shared" si="35"/>
        <v>618980</v>
      </c>
      <c r="K67" s="16">
        <f t="shared" si="35"/>
        <v>646130</v>
      </c>
      <c r="L67" s="16">
        <f t="shared" si="35"/>
        <v>760150</v>
      </c>
      <c r="M67" s="16">
        <f t="shared" si="35"/>
        <v>787300</v>
      </c>
      <c r="N67" s="16">
        <f t="shared" si="35"/>
        <v>814450</v>
      </c>
      <c r="O67" s="16">
        <f t="shared" si="35"/>
        <v>901320</v>
      </c>
      <c r="P67" s="16">
        <f t="shared" si="35"/>
        <v>928470</v>
      </c>
      <c r="Q67" s="16">
        <f t="shared" si="35"/>
        <v>955620</v>
      </c>
      <c r="R67" s="16">
        <f t="shared" si="35"/>
        <v>1096790</v>
      </c>
    </row>
    <row r="68" spans="1:18" x14ac:dyDescent="0.25">
      <c r="A68" s="4" t="s">
        <v>32</v>
      </c>
      <c r="B68" s="16">
        <f t="shared" ref="B68:R68" si="36">B$56*$R48+B$57*$S48</f>
        <v>143097</v>
      </c>
      <c r="C68" s="16">
        <f t="shared" si="36"/>
        <v>170614.5</v>
      </c>
      <c r="D68" s="16">
        <f t="shared" si="36"/>
        <v>198132</v>
      </c>
      <c r="E68" s="16">
        <f t="shared" si="36"/>
        <v>286194</v>
      </c>
      <c r="F68" s="16">
        <f t="shared" si="36"/>
        <v>313711.5</v>
      </c>
      <c r="G68" s="16">
        <f t="shared" si="36"/>
        <v>341229</v>
      </c>
      <c r="H68" s="16">
        <f t="shared" si="36"/>
        <v>456808.5</v>
      </c>
      <c r="I68" s="16">
        <f t="shared" si="36"/>
        <v>484326</v>
      </c>
      <c r="J68" s="16">
        <f t="shared" si="36"/>
        <v>627423</v>
      </c>
      <c r="K68" s="16">
        <f t="shared" si="36"/>
        <v>654940.5</v>
      </c>
      <c r="L68" s="16">
        <f t="shared" si="36"/>
        <v>770520</v>
      </c>
      <c r="M68" s="16">
        <f t="shared" si="36"/>
        <v>798037.5</v>
      </c>
      <c r="N68" s="16">
        <f t="shared" si="36"/>
        <v>825555</v>
      </c>
      <c r="O68" s="16">
        <f t="shared" si="36"/>
        <v>913617</v>
      </c>
      <c r="P68" s="16">
        <f t="shared" si="36"/>
        <v>941134.5</v>
      </c>
      <c r="Q68" s="16">
        <f t="shared" si="36"/>
        <v>968652</v>
      </c>
      <c r="R68" s="16">
        <f t="shared" si="36"/>
        <v>1111749</v>
      </c>
    </row>
    <row r="69" spans="1:18" x14ac:dyDescent="0.25">
      <c r="A69" s="4" t="s">
        <v>47</v>
      </c>
      <c r="B69" s="16">
        <f t="shared" ref="B69:R69" si="37">B$56*$R49+B$57*$S49</f>
        <v>1605</v>
      </c>
      <c r="C69" s="16">
        <f t="shared" si="37"/>
        <v>802.5</v>
      </c>
      <c r="D69" s="16">
        <f t="shared" si="37"/>
        <v>0</v>
      </c>
      <c r="E69" s="16">
        <f t="shared" si="37"/>
        <v>3210</v>
      </c>
      <c r="F69" s="16">
        <f t="shared" si="37"/>
        <v>2407.5</v>
      </c>
      <c r="G69" s="16">
        <f t="shared" si="37"/>
        <v>1605</v>
      </c>
      <c r="H69" s="16">
        <f t="shared" si="37"/>
        <v>4012.5</v>
      </c>
      <c r="I69" s="16">
        <f t="shared" si="37"/>
        <v>3210</v>
      </c>
      <c r="J69" s="16">
        <f t="shared" si="37"/>
        <v>4815</v>
      </c>
      <c r="K69" s="16">
        <f t="shared" si="37"/>
        <v>4012.5</v>
      </c>
      <c r="L69" s="16">
        <f t="shared" si="37"/>
        <v>6420</v>
      </c>
      <c r="M69" s="16">
        <f t="shared" si="37"/>
        <v>5617.5</v>
      </c>
      <c r="N69" s="16">
        <f t="shared" si="37"/>
        <v>4815</v>
      </c>
      <c r="O69" s="16">
        <f t="shared" si="37"/>
        <v>8025</v>
      </c>
      <c r="P69" s="16">
        <f t="shared" si="37"/>
        <v>7222.5</v>
      </c>
      <c r="Q69" s="16">
        <f t="shared" si="37"/>
        <v>6420</v>
      </c>
      <c r="R69" s="16">
        <f t="shared" si="37"/>
        <v>8025</v>
      </c>
    </row>
    <row r="71" spans="1:18" x14ac:dyDescent="0.25">
      <c r="A71" s="15" t="s">
        <v>73</v>
      </c>
    </row>
    <row r="72" spans="1:18" x14ac:dyDescent="0.25">
      <c r="A72" s="13" t="s">
        <v>60</v>
      </c>
      <c r="B72" s="13" t="s">
        <v>50</v>
      </c>
      <c r="C72" s="13" t="s">
        <v>50</v>
      </c>
      <c r="D72" s="13" t="s">
        <v>50</v>
      </c>
      <c r="E72" s="13" t="s">
        <v>51</v>
      </c>
      <c r="F72" s="13" t="s">
        <v>51</v>
      </c>
      <c r="G72" s="13" t="s">
        <v>51</v>
      </c>
      <c r="H72" s="13" t="s">
        <v>52</v>
      </c>
      <c r="I72" s="13" t="s">
        <v>52</v>
      </c>
      <c r="J72" s="13" t="s">
        <v>53</v>
      </c>
      <c r="K72" s="13" t="s">
        <v>53</v>
      </c>
      <c r="L72" s="13" t="s">
        <v>54</v>
      </c>
      <c r="M72" s="13" t="s">
        <v>54</v>
      </c>
      <c r="N72" s="13" t="s">
        <v>54</v>
      </c>
      <c r="O72" s="13" t="s">
        <v>55</v>
      </c>
      <c r="P72" s="13" t="s">
        <v>55</v>
      </c>
      <c r="Q72" s="13" t="s">
        <v>55</v>
      </c>
      <c r="R72" s="13" t="s">
        <v>56</v>
      </c>
    </row>
    <row r="73" spans="1:18" x14ac:dyDescent="0.25">
      <c r="A73" s="13" t="s">
        <v>57</v>
      </c>
      <c r="B73" s="12">
        <v>2</v>
      </c>
      <c r="C73" s="12">
        <v>1</v>
      </c>
      <c r="D73" s="12">
        <v>0</v>
      </c>
      <c r="E73" s="12">
        <v>4</v>
      </c>
      <c r="F73" s="12">
        <v>3</v>
      </c>
      <c r="G73" s="12">
        <v>2</v>
      </c>
      <c r="H73" s="12">
        <v>5</v>
      </c>
      <c r="I73" s="12">
        <v>4</v>
      </c>
      <c r="J73" s="12">
        <v>6</v>
      </c>
      <c r="K73" s="12">
        <v>5</v>
      </c>
      <c r="L73" s="12">
        <v>8</v>
      </c>
      <c r="M73" s="12">
        <v>7</v>
      </c>
      <c r="N73" s="12">
        <v>6</v>
      </c>
      <c r="O73" s="12">
        <v>10</v>
      </c>
      <c r="P73" s="12">
        <v>9</v>
      </c>
      <c r="Q73" s="12">
        <v>8</v>
      </c>
      <c r="R73" s="12">
        <v>10</v>
      </c>
    </row>
    <row r="74" spans="1:18" x14ac:dyDescent="0.25">
      <c r="A74" s="13" t="s">
        <v>58</v>
      </c>
      <c r="B74" s="12">
        <v>0</v>
      </c>
      <c r="C74" s="12">
        <v>1</v>
      </c>
      <c r="D74" s="12">
        <v>2</v>
      </c>
      <c r="E74" s="12">
        <v>0</v>
      </c>
      <c r="F74" s="12">
        <v>1</v>
      </c>
      <c r="G74" s="12">
        <v>2</v>
      </c>
      <c r="H74" s="12">
        <v>1</v>
      </c>
      <c r="I74" s="12">
        <v>2</v>
      </c>
      <c r="J74" s="12">
        <v>2</v>
      </c>
      <c r="K74" s="12">
        <v>3</v>
      </c>
      <c r="L74" s="12">
        <v>2</v>
      </c>
      <c r="M74" s="12">
        <v>3</v>
      </c>
      <c r="N74" s="12">
        <v>4</v>
      </c>
      <c r="O74" s="12">
        <v>2</v>
      </c>
      <c r="P74" s="12">
        <v>3</v>
      </c>
      <c r="Q74" s="12">
        <v>4</v>
      </c>
      <c r="R74" s="12">
        <v>4</v>
      </c>
    </row>
    <row r="75" spans="1:18" x14ac:dyDescent="0.25">
      <c r="A75" s="14" t="s">
        <v>22</v>
      </c>
      <c r="B75" s="11">
        <f t="shared" ref="B75:R75" si="38">B$56*$T38+B$57*$U38</f>
        <v>146661</v>
      </c>
      <c r="C75" s="11">
        <f t="shared" si="38"/>
        <v>171718.5</v>
      </c>
      <c r="D75" s="11">
        <f t="shared" si="38"/>
        <v>196776</v>
      </c>
      <c r="E75" s="11">
        <f t="shared" si="38"/>
        <v>293322</v>
      </c>
      <c r="F75" s="11">
        <f t="shared" si="38"/>
        <v>318379.5</v>
      </c>
      <c r="G75" s="11">
        <f t="shared" si="38"/>
        <v>343437</v>
      </c>
      <c r="H75" s="11">
        <f t="shared" si="38"/>
        <v>465040.5</v>
      </c>
      <c r="I75" s="11">
        <f t="shared" si="38"/>
        <v>490098</v>
      </c>
      <c r="J75" s="11">
        <f t="shared" si="38"/>
        <v>636759</v>
      </c>
      <c r="K75" s="11">
        <f t="shared" si="38"/>
        <v>661816.5</v>
      </c>
      <c r="L75" s="11">
        <f t="shared" si="38"/>
        <v>783420</v>
      </c>
      <c r="M75" s="11">
        <f t="shared" si="38"/>
        <v>808477.5</v>
      </c>
      <c r="N75" s="11">
        <f t="shared" si="38"/>
        <v>833535</v>
      </c>
      <c r="O75" s="11">
        <f t="shared" si="38"/>
        <v>930081</v>
      </c>
      <c r="P75" s="11">
        <f t="shared" si="38"/>
        <v>955138.5</v>
      </c>
      <c r="Q75" s="11">
        <f t="shared" si="38"/>
        <v>980196</v>
      </c>
      <c r="R75" s="11">
        <f t="shared" si="38"/>
        <v>1126857</v>
      </c>
    </row>
    <row r="76" spans="1:18" x14ac:dyDescent="0.25">
      <c r="A76" s="14" t="s">
        <v>23</v>
      </c>
      <c r="B76" s="11">
        <f t="shared" ref="B76:R76" si="39">B$56*$T39+B$57*$U39</f>
        <v>146661</v>
      </c>
      <c r="C76" s="11">
        <f t="shared" si="39"/>
        <v>171718.5</v>
      </c>
      <c r="D76" s="11">
        <f t="shared" si="39"/>
        <v>196776</v>
      </c>
      <c r="E76" s="11">
        <f t="shared" si="39"/>
        <v>293322</v>
      </c>
      <c r="F76" s="11">
        <f t="shared" si="39"/>
        <v>318379.5</v>
      </c>
      <c r="G76" s="11">
        <f t="shared" si="39"/>
        <v>343437</v>
      </c>
      <c r="H76" s="11">
        <f t="shared" si="39"/>
        <v>465040.5</v>
      </c>
      <c r="I76" s="11">
        <f t="shared" si="39"/>
        <v>490098</v>
      </c>
      <c r="J76" s="11">
        <f t="shared" si="39"/>
        <v>636759</v>
      </c>
      <c r="K76" s="11">
        <f t="shared" si="39"/>
        <v>661816.5</v>
      </c>
      <c r="L76" s="11">
        <f t="shared" si="39"/>
        <v>783420</v>
      </c>
      <c r="M76" s="11">
        <f t="shared" si="39"/>
        <v>808477.5</v>
      </c>
      <c r="N76" s="11">
        <f t="shared" si="39"/>
        <v>833535</v>
      </c>
      <c r="O76" s="11">
        <f t="shared" si="39"/>
        <v>930081</v>
      </c>
      <c r="P76" s="11">
        <f t="shared" si="39"/>
        <v>955138.5</v>
      </c>
      <c r="Q76" s="11">
        <f t="shared" si="39"/>
        <v>980196</v>
      </c>
      <c r="R76" s="11">
        <f t="shared" si="39"/>
        <v>1126857</v>
      </c>
    </row>
    <row r="77" spans="1:18" x14ac:dyDescent="0.25">
      <c r="A77" s="14" t="s">
        <v>24</v>
      </c>
      <c r="B77" s="11">
        <f t="shared" ref="B77:R77" si="40">B$56*$T40+B$57*$U40</f>
        <v>147348</v>
      </c>
      <c r="C77" s="11">
        <f t="shared" si="40"/>
        <v>172518</v>
      </c>
      <c r="D77" s="11">
        <f t="shared" si="40"/>
        <v>197688</v>
      </c>
      <c r="E77" s="11">
        <f t="shared" si="40"/>
        <v>294696</v>
      </c>
      <c r="F77" s="11">
        <f t="shared" si="40"/>
        <v>319866</v>
      </c>
      <c r="G77" s="11">
        <f t="shared" si="40"/>
        <v>345036</v>
      </c>
      <c r="H77" s="11">
        <f t="shared" si="40"/>
        <v>467214</v>
      </c>
      <c r="I77" s="11">
        <f t="shared" si="40"/>
        <v>492384</v>
      </c>
      <c r="J77" s="11">
        <f t="shared" si="40"/>
        <v>639732</v>
      </c>
      <c r="K77" s="11">
        <f t="shared" si="40"/>
        <v>664902</v>
      </c>
      <c r="L77" s="11">
        <f t="shared" si="40"/>
        <v>787080</v>
      </c>
      <c r="M77" s="11">
        <f t="shared" si="40"/>
        <v>812250</v>
      </c>
      <c r="N77" s="11">
        <f t="shared" si="40"/>
        <v>837420</v>
      </c>
      <c r="O77" s="11">
        <f t="shared" si="40"/>
        <v>934428</v>
      </c>
      <c r="P77" s="11">
        <f t="shared" si="40"/>
        <v>959598</v>
      </c>
      <c r="Q77" s="11">
        <f t="shared" si="40"/>
        <v>984768</v>
      </c>
      <c r="R77" s="11">
        <f t="shared" si="40"/>
        <v>1132116</v>
      </c>
    </row>
    <row r="78" spans="1:18" x14ac:dyDescent="0.25">
      <c r="A78" s="14" t="s">
        <v>25</v>
      </c>
      <c r="B78" s="11">
        <f t="shared" ref="B78:R78" si="41">B$56*$T41+B$57*$U41</f>
        <v>147462</v>
      </c>
      <c r="C78" s="11">
        <f t="shared" si="41"/>
        <v>172647</v>
      </c>
      <c r="D78" s="11">
        <f t="shared" si="41"/>
        <v>197832</v>
      </c>
      <c r="E78" s="11">
        <f t="shared" si="41"/>
        <v>294924</v>
      </c>
      <c r="F78" s="11">
        <f t="shared" si="41"/>
        <v>320109</v>
      </c>
      <c r="G78" s="11">
        <f t="shared" si="41"/>
        <v>345294</v>
      </c>
      <c r="H78" s="11">
        <f t="shared" si="41"/>
        <v>467571</v>
      </c>
      <c r="I78" s="11">
        <f t="shared" si="41"/>
        <v>492756</v>
      </c>
      <c r="J78" s="11">
        <f t="shared" si="41"/>
        <v>640218</v>
      </c>
      <c r="K78" s="11">
        <f t="shared" si="41"/>
        <v>665403</v>
      </c>
      <c r="L78" s="11">
        <f t="shared" si="41"/>
        <v>787680</v>
      </c>
      <c r="M78" s="11">
        <f t="shared" si="41"/>
        <v>812865</v>
      </c>
      <c r="N78" s="11">
        <f t="shared" si="41"/>
        <v>838050</v>
      </c>
      <c r="O78" s="11">
        <f t="shared" si="41"/>
        <v>935142</v>
      </c>
      <c r="P78" s="11">
        <f t="shared" si="41"/>
        <v>960327</v>
      </c>
      <c r="Q78" s="11">
        <f t="shared" si="41"/>
        <v>985512</v>
      </c>
      <c r="R78" s="11">
        <f t="shared" si="41"/>
        <v>1132974</v>
      </c>
    </row>
    <row r="79" spans="1:18" x14ac:dyDescent="0.25">
      <c r="A79" s="14" t="s">
        <v>26</v>
      </c>
      <c r="B79" s="11">
        <f t="shared" ref="B79:R79" si="42">B$56*$T42+B$57*$U42</f>
        <v>150705</v>
      </c>
      <c r="C79" s="11">
        <f t="shared" si="42"/>
        <v>176452.5</v>
      </c>
      <c r="D79" s="11">
        <f t="shared" si="42"/>
        <v>202200</v>
      </c>
      <c r="E79" s="11">
        <f t="shared" si="42"/>
        <v>301410</v>
      </c>
      <c r="F79" s="11">
        <f t="shared" si="42"/>
        <v>327157.5</v>
      </c>
      <c r="G79" s="11">
        <f t="shared" si="42"/>
        <v>352905</v>
      </c>
      <c r="H79" s="11">
        <f t="shared" si="42"/>
        <v>477862.5</v>
      </c>
      <c r="I79" s="11">
        <f t="shared" si="42"/>
        <v>503610</v>
      </c>
      <c r="J79" s="11">
        <f t="shared" si="42"/>
        <v>654315</v>
      </c>
      <c r="K79" s="11">
        <f t="shared" si="42"/>
        <v>680062.5</v>
      </c>
      <c r="L79" s="11">
        <f t="shared" si="42"/>
        <v>805020</v>
      </c>
      <c r="M79" s="11">
        <f t="shared" si="42"/>
        <v>830767.5</v>
      </c>
      <c r="N79" s="11">
        <f t="shared" si="42"/>
        <v>856515</v>
      </c>
      <c r="O79" s="11">
        <f t="shared" si="42"/>
        <v>955725</v>
      </c>
      <c r="P79" s="11">
        <f t="shared" si="42"/>
        <v>981472.5</v>
      </c>
      <c r="Q79" s="11">
        <f t="shared" si="42"/>
        <v>1007220</v>
      </c>
      <c r="R79" s="11">
        <f t="shared" si="42"/>
        <v>1157925</v>
      </c>
    </row>
    <row r="80" spans="1:18" x14ac:dyDescent="0.25">
      <c r="A80" s="14" t="s">
        <v>27</v>
      </c>
      <c r="B80" s="11">
        <f t="shared" ref="B80:R80" si="43">B$56*$T43+B$57*$U43</f>
        <v>155157</v>
      </c>
      <c r="C80" s="11">
        <f t="shared" si="43"/>
        <v>181654.5</v>
      </c>
      <c r="D80" s="11">
        <f t="shared" si="43"/>
        <v>208152</v>
      </c>
      <c r="E80" s="11">
        <f t="shared" si="43"/>
        <v>310314</v>
      </c>
      <c r="F80" s="11">
        <f t="shared" si="43"/>
        <v>336811.5</v>
      </c>
      <c r="G80" s="11">
        <f t="shared" si="43"/>
        <v>363309</v>
      </c>
      <c r="H80" s="11">
        <f t="shared" si="43"/>
        <v>491968.5</v>
      </c>
      <c r="I80" s="11">
        <f t="shared" si="43"/>
        <v>518466</v>
      </c>
      <c r="J80" s="11">
        <f t="shared" si="43"/>
        <v>673623</v>
      </c>
      <c r="K80" s="11">
        <f t="shared" si="43"/>
        <v>700120.5</v>
      </c>
      <c r="L80" s="11">
        <f t="shared" si="43"/>
        <v>828780</v>
      </c>
      <c r="M80" s="11">
        <f t="shared" si="43"/>
        <v>855277.5</v>
      </c>
      <c r="N80" s="11">
        <f t="shared" si="43"/>
        <v>881775</v>
      </c>
      <c r="O80" s="11">
        <f t="shared" si="43"/>
        <v>983937</v>
      </c>
      <c r="P80" s="11">
        <f t="shared" si="43"/>
        <v>1010434.5</v>
      </c>
      <c r="Q80" s="11">
        <f t="shared" si="43"/>
        <v>1036932</v>
      </c>
      <c r="R80" s="11">
        <f t="shared" si="43"/>
        <v>1192089</v>
      </c>
    </row>
    <row r="81" spans="1:18" x14ac:dyDescent="0.25">
      <c r="A81" s="14" t="s">
        <v>28</v>
      </c>
      <c r="B81" s="11">
        <f t="shared" ref="B81:R81" si="44">B$56*$T44+B$57*$U44</f>
        <v>156165</v>
      </c>
      <c r="C81" s="11">
        <f t="shared" si="44"/>
        <v>182842.5</v>
      </c>
      <c r="D81" s="11">
        <f t="shared" si="44"/>
        <v>209520</v>
      </c>
      <c r="E81" s="11">
        <f t="shared" si="44"/>
        <v>312330</v>
      </c>
      <c r="F81" s="11">
        <f t="shared" si="44"/>
        <v>339007.5</v>
      </c>
      <c r="G81" s="11">
        <f t="shared" si="44"/>
        <v>365685</v>
      </c>
      <c r="H81" s="11">
        <f t="shared" si="44"/>
        <v>495172.5</v>
      </c>
      <c r="I81" s="11">
        <f t="shared" si="44"/>
        <v>521850</v>
      </c>
      <c r="J81" s="11">
        <f t="shared" si="44"/>
        <v>678015</v>
      </c>
      <c r="K81" s="11">
        <f t="shared" si="44"/>
        <v>704692.5</v>
      </c>
      <c r="L81" s="11">
        <f t="shared" si="44"/>
        <v>834180</v>
      </c>
      <c r="M81" s="11">
        <f t="shared" si="44"/>
        <v>860857.5</v>
      </c>
      <c r="N81" s="11">
        <f t="shared" si="44"/>
        <v>887535</v>
      </c>
      <c r="O81" s="11">
        <f t="shared" si="44"/>
        <v>990345</v>
      </c>
      <c r="P81" s="11">
        <f t="shared" si="44"/>
        <v>1017022.5</v>
      </c>
      <c r="Q81" s="11">
        <f t="shared" si="44"/>
        <v>1043700</v>
      </c>
      <c r="R81" s="11">
        <f t="shared" si="44"/>
        <v>1199865</v>
      </c>
    </row>
    <row r="82" spans="1:18" x14ac:dyDescent="0.25">
      <c r="A82" s="14" t="s">
        <v>29</v>
      </c>
      <c r="B82" s="11">
        <f t="shared" ref="B82:R82" si="45">B$56*$T45+B$57*$U45</f>
        <v>148551</v>
      </c>
      <c r="C82" s="11">
        <f t="shared" si="45"/>
        <v>173923.5</v>
      </c>
      <c r="D82" s="11">
        <f t="shared" si="45"/>
        <v>199296</v>
      </c>
      <c r="E82" s="11">
        <f t="shared" si="45"/>
        <v>297102</v>
      </c>
      <c r="F82" s="11">
        <f t="shared" si="45"/>
        <v>322474.5</v>
      </c>
      <c r="G82" s="11">
        <f t="shared" si="45"/>
        <v>347847</v>
      </c>
      <c r="H82" s="11">
        <f t="shared" si="45"/>
        <v>471025.5</v>
      </c>
      <c r="I82" s="11">
        <f t="shared" si="45"/>
        <v>496398</v>
      </c>
      <c r="J82" s="11">
        <f t="shared" si="45"/>
        <v>644949</v>
      </c>
      <c r="K82" s="11">
        <f t="shared" si="45"/>
        <v>670321.5</v>
      </c>
      <c r="L82" s="11">
        <f t="shared" si="45"/>
        <v>793500</v>
      </c>
      <c r="M82" s="11">
        <f t="shared" si="45"/>
        <v>818872.5</v>
      </c>
      <c r="N82" s="11">
        <f t="shared" si="45"/>
        <v>844245</v>
      </c>
      <c r="O82" s="11">
        <f t="shared" si="45"/>
        <v>942051</v>
      </c>
      <c r="P82" s="11">
        <f t="shared" si="45"/>
        <v>967423.5</v>
      </c>
      <c r="Q82" s="11">
        <f t="shared" si="45"/>
        <v>992796</v>
      </c>
      <c r="R82" s="11">
        <f t="shared" si="45"/>
        <v>1141347</v>
      </c>
    </row>
    <row r="83" spans="1:18" x14ac:dyDescent="0.25">
      <c r="A83" s="14" t="s">
        <v>30</v>
      </c>
      <c r="B83" s="11">
        <f t="shared" ref="B83:R83" si="46">B$56*$T46+B$57*$U46</f>
        <v>154371</v>
      </c>
      <c r="C83" s="11">
        <f t="shared" si="46"/>
        <v>180733.5</v>
      </c>
      <c r="D83" s="11">
        <f t="shared" si="46"/>
        <v>207096</v>
      </c>
      <c r="E83" s="11">
        <f t="shared" si="46"/>
        <v>308742</v>
      </c>
      <c r="F83" s="11">
        <f t="shared" si="46"/>
        <v>335104.5</v>
      </c>
      <c r="G83" s="11">
        <f t="shared" si="46"/>
        <v>361467</v>
      </c>
      <c r="H83" s="11">
        <f t="shared" si="46"/>
        <v>489475.5</v>
      </c>
      <c r="I83" s="11">
        <f t="shared" si="46"/>
        <v>515838</v>
      </c>
      <c r="J83" s="11">
        <f t="shared" si="46"/>
        <v>670209</v>
      </c>
      <c r="K83" s="11">
        <f t="shared" si="46"/>
        <v>696571.5</v>
      </c>
      <c r="L83" s="11">
        <f t="shared" si="46"/>
        <v>824580</v>
      </c>
      <c r="M83" s="11">
        <f t="shared" si="46"/>
        <v>850942.5</v>
      </c>
      <c r="N83" s="11">
        <f t="shared" si="46"/>
        <v>877305</v>
      </c>
      <c r="O83" s="11">
        <f t="shared" si="46"/>
        <v>978951</v>
      </c>
      <c r="P83" s="11">
        <f t="shared" si="46"/>
        <v>1005313.5</v>
      </c>
      <c r="Q83" s="11">
        <f t="shared" si="46"/>
        <v>1031676</v>
      </c>
      <c r="R83" s="11">
        <f t="shared" si="46"/>
        <v>1186047</v>
      </c>
    </row>
    <row r="84" spans="1:18" x14ac:dyDescent="0.25">
      <c r="A84" s="14" t="s">
        <v>31</v>
      </c>
      <c r="B84" s="11">
        <f t="shared" ref="B84:R84" si="47">B$56*$T47+B$57*$U47</f>
        <v>158940</v>
      </c>
      <c r="C84" s="11">
        <f t="shared" si="47"/>
        <v>186090</v>
      </c>
      <c r="D84" s="11">
        <f t="shared" si="47"/>
        <v>213240</v>
      </c>
      <c r="E84" s="11">
        <f t="shared" si="47"/>
        <v>317880</v>
      </c>
      <c r="F84" s="11">
        <f t="shared" si="47"/>
        <v>345030</v>
      </c>
      <c r="G84" s="11">
        <f t="shared" si="47"/>
        <v>372180</v>
      </c>
      <c r="H84" s="11">
        <f t="shared" si="47"/>
        <v>503970</v>
      </c>
      <c r="I84" s="11">
        <f t="shared" si="47"/>
        <v>531120</v>
      </c>
      <c r="J84" s="11">
        <f t="shared" si="47"/>
        <v>690060</v>
      </c>
      <c r="K84" s="11">
        <f t="shared" si="47"/>
        <v>717210</v>
      </c>
      <c r="L84" s="11">
        <f t="shared" si="47"/>
        <v>849000</v>
      </c>
      <c r="M84" s="11">
        <f t="shared" si="47"/>
        <v>876150</v>
      </c>
      <c r="N84" s="11">
        <f t="shared" si="47"/>
        <v>903300</v>
      </c>
      <c r="O84" s="11">
        <f t="shared" si="47"/>
        <v>1007940</v>
      </c>
      <c r="P84" s="11">
        <f t="shared" si="47"/>
        <v>1035090</v>
      </c>
      <c r="Q84" s="11">
        <f t="shared" si="47"/>
        <v>1062240</v>
      </c>
      <c r="R84" s="11">
        <f t="shared" si="47"/>
        <v>1221180</v>
      </c>
    </row>
    <row r="85" spans="1:18" x14ac:dyDescent="0.25">
      <c r="A85" s="14" t="s">
        <v>32</v>
      </c>
      <c r="B85" s="11">
        <f t="shared" ref="B85:R85" si="48">B$56*$T48+B$57*$U48</f>
        <v>161109</v>
      </c>
      <c r="C85" s="11">
        <f t="shared" si="48"/>
        <v>188626.5</v>
      </c>
      <c r="D85" s="11">
        <f t="shared" si="48"/>
        <v>216144</v>
      </c>
      <c r="E85" s="11">
        <f t="shared" si="48"/>
        <v>322218</v>
      </c>
      <c r="F85" s="11">
        <f t="shared" si="48"/>
        <v>349735.5</v>
      </c>
      <c r="G85" s="11">
        <f t="shared" si="48"/>
        <v>377253</v>
      </c>
      <c r="H85" s="11">
        <f t="shared" si="48"/>
        <v>510844.5</v>
      </c>
      <c r="I85" s="11">
        <f t="shared" si="48"/>
        <v>538362</v>
      </c>
      <c r="J85" s="11">
        <f t="shared" si="48"/>
        <v>699471</v>
      </c>
      <c r="K85" s="11">
        <f t="shared" si="48"/>
        <v>726988.5</v>
      </c>
      <c r="L85" s="11">
        <f t="shared" si="48"/>
        <v>860580</v>
      </c>
      <c r="M85" s="11">
        <f t="shared" si="48"/>
        <v>888097.5</v>
      </c>
      <c r="N85" s="11">
        <f t="shared" si="48"/>
        <v>915615</v>
      </c>
      <c r="O85" s="11">
        <f t="shared" si="48"/>
        <v>1021689</v>
      </c>
      <c r="P85" s="11">
        <f t="shared" si="48"/>
        <v>1049206.5</v>
      </c>
      <c r="Q85" s="11">
        <f t="shared" si="48"/>
        <v>1076724</v>
      </c>
      <c r="R85" s="11">
        <f t="shared" si="48"/>
        <v>1237833</v>
      </c>
    </row>
    <row r="86" spans="1:18" ht="30" customHeight="1" x14ac:dyDescent="0.25">
      <c r="A86" s="14" t="s">
        <v>47</v>
      </c>
      <c r="B86" s="11">
        <f t="shared" ref="B86:R86" si="49">B$56*$T49+B$57*$U49</f>
        <v>1605</v>
      </c>
      <c r="C86" s="11">
        <f t="shared" si="49"/>
        <v>802.5</v>
      </c>
      <c r="D86" s="11">
        <f t="shared" si="49"/>
        <v>0</v>
      </c>
      <c r="E86" s="11">
        <f t="shared" si="49"/>
        <v>3210</v>
      </c>
      <c r="F86" s="11">
        <f t="shared" si="49"/>
        <v>2407.5</v>
      </c>
      <c r="G86" s="11">
        <f t="shared" si="49"/>
        <v>1605</v>
      </c>
      <c r="H86" s="11">
        <f t="shared" si="49"/>
        <v>4012.5</v>
      </c>
      <c r="I86" s="11">
        <f t="shared" si="49"/>
        <v>3210</v>
      </c>
      <c r="J86" s="11">
        <f t="shared" si="49"/>
        <v>4815</v>
      </c>
      <c r="K86" s="11">
        <f t="shared" si="49"/>
        <v>4012.5</v>
      </c>
      <c r="L86" s="11">
        <f t="shared" si="49"/>
        <v>6420</v>
      </c>
      <c r="M86" s="11">
        <f t="shared" si="49"/>
        <v>5617.5</v>
      </c>
      <c r="N86" s="11">
        <f t="shared" si="49"/>
        <v>4815</v>
      </c>
      <c r="O86" s="11">
        <f t="shared" si="49"/>
        <v>8025</v>
      </c>
      <c r="P86" s="11">
        <f t="shared" si="49"/>
        <v>7222.5</v>
      </c>
      <c r="Q86" s="11">
        <f t="shared" si="49"/>
        <v>6420</v>
      </c>
      <c r="R86" s="11">
        <f t="shared" si="49"/>
        <v>8025</v>
      </c>
    </row>
  </sheetData>
  <mergeCells count="1">
    <mergeCell ref="C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5"/>
  <sheetViews>
    <sheetView workbookViewId="0"/>
  </sheetViews>
  <sheetFormatPr defaultColWidth="11" defaultRowHeight="15" x14ac:dyDescent="0.25"/>
  <cols>
    <col min="1" max="1" width="14.625" customWidth="1"/>
  </cols>
  <sheetData>
    <row r="2" spans="1:2" x14ac:dyDescent="0.25">
      <c r="A2" s="22" t="s">
        <v>74</v>
      </c>
      <c r="B2" s="22" t="s">
        <v>75</v>
      </c>
    </row>
    <row r="3" spans="1:2" x14ac:dyDescent="0.25">
      <c r="A3" s="22" t="s">
        <v>76</v>
      </c>
      <c r="B3" s="22" t="s">
        <v>77</v>
      </c>
    </row>
    <row r="4" spans="1:2" x14ac:dyDescent="0.25">
      <c r="A4" s="22" t="s">
        <v>78</v>
      </c>
      <c r="B4" s="22" t="s">
        <v>79</v>
      </c>
    </row>
    <row r="5" spans="1:2" x14ac:dyDescent="0.25">
      <c r="A5" s="22" t="s">
        <v>80</v>
      </c>
      <c r="B5" s="2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Töflur</vt:lpstr>
      <vt:lpstr>Leiðsögn</vt:lpstr>
      <vt:lpstr>Ökuleiðsögn</vt:lpstr>
      <vt:lpstr>Launaflokkur - skyring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GRID user</dc:creator>
  <cp:lastModifiedBy>Viðar Ingason</cp:lastModifiedBy>
  <dcterms:created xsi:type="dcterms:W3CDTF">2020-10-28T14:48:21Z</dcterms:created>
  <dcterms:modified xsi:type="dcterms:W3CDTF">2026-04-21T13:22:40Z</dcterms:modified>
</cp:coreProperties>
</file>